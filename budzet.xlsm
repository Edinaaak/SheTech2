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108" yWindow="-108" windowWidth="19416" windowHeight="10296" tabRatio="684" firstSheet="3" activeTab="6"/>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Stay'!$A$1:$S$35</definedName>
    <definedName name="_xlnm.Print_Area" localSheetId="2">'1. Staff costs'!$A$1:$U$56</definedName>
    <definedName name="_xlnm.Print_Area" localSheetId="4">'4. Equipment Costs'!$A$1:$J$23</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Stay'!$35:$1048576,' 2-3-6. Travel&amp;Costs of Stay'!#REF!</definedName>
    <definedName name="Z_D7932BCF_3472_4742_BE90_75070A4D3346_.wvu.Rows" localSheetId="2" hidden="1">'1. Staff costs'!$56:$1048576,'1. Staff costs'!#REF!</definedName>
    <definedName name="Z_D7932BCF_3472_4742_BE90_75070A4D3346_.wvu.Rows" localSheetId="4" hidden="1">'4. Equipment Costs'!$23:$1048576,'4.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62913"/>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26" l="1"/>
  <c r="D17" i="70"/>
  <c r="D22" i="26"/>
  <c r="D16" i="26"/>
  <c r="C16" i="71"/>
  <c r="C15" i="71"/>
  <c r="D16" i="70"/>
  <c r="D15" i="70"/>
  <c r="D43" i="40"/>
  <c r="D21" i="26" l="1"/>
  <c r="D20" i="26"/>
  <c r="D19" i="26"/>
  <c r="D17" i="26"/>
  <c r="D15" i="26"/>
  <c r="N34" i="39"/>
  <c r="D34" i="39"/>
  <c r="N33" i="39"/>
  <c r="D33" i="39"/>
  <c r="N32" i="39"/>
  <c r="D32" i="39"/>
  <c r="N31" i="39"/>
  <c r="D31" i="39"/>
  <c r="N30" i="39"/>
  <c r="D30" i="39"/>
  <c r="N29" i="39"/>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D55" i="40"/>
  <c r="D54" i="40"/>
  <c r="D53" i="40"/>
  <c r="D52" i="40"/>
  <c r="D51" i="40"/>
  <c r="D50" i="40"/>
  <c r="D49" i="40"/>
  <c r="D48" i="40"/>
  <c r="D47" i="40"/>
  <c r="D45" i="40"/>
  <c r="D46" i="40"/>
  <c r="D44" i="40"/>
  <c r="D42" i="40"/>
  <c r="D41" i="40"/>
  <c r="D40" i="40"/>
  <c r="D39" i="40"/>
  <c r="D38" i="40"/>
  <c r="D37" i="40"/>
  <c r="D36" i="40"/>
  <c r="D35" i="40"/>
  <c r="D34" i="40"/>
  <c r="D33" i="40"/>
  <c r="D32" i="40"/>
  <c r="D31" i="40"/>
  <c r="D30" i="40"/>
  <c r="D29" i="40"/>
  <c r="D28" i="40"/>
  <c r="D27" i="40"/>
  <c r="D26" i="40"/>
  <c r="D25" i="40"/>
  <c r="D24" i="40"/>
  <c r="D23" i="40"/>
  <c r="D22" i="40"/>
  <c r="D21" i="40"/>
  <c r="D20" i="40"/>
  <c r="D19" i="40"/>
  <c r="D18" i="40"/>
  <c r="D17" i="40"/>
  <c r="D16" i="40"/>
  <c r="D15" i="40"/>
  <c r="N13" i="39" l="1"/>
  <c r="N14" i="39"/>
  <c r="L45" i="41" l="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2" i="41"/>
  <c r="G33" i="41"/>
  <c r="G34" i="41"/>
  <c r="G35" i="41"/>
  <c r="G37" i="41"/>
  <c r="G40" i="41"/>
  <c r="G41" i="41"/>
  <c r="G42"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N69" i="73" l="1"/>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2" i="41"/>
  <c r="H33" i="41"/>
  <c r="H34" i="41"/>
  <c r="H35" i="41"/>
  <c r="H37" i="41"/>
  <c r="H40" i="41"/>
  <c r="H41" i="41"/>
  <c r="H42"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16" i="70" s="1"/>
  <c r="I16" i="70" s="1"/>
  <c r="H16" i="70" s="1"/>
  <c r="E30" i="41"/>
  <c r="D14" i="71" s="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3" i="71"/>
  <c r="C14" i="71"/>
  <c r="C13" i="71"/>
  <c r="E14" i="70"/>
  <c r="E13" i="70"/>
  <c r="D14" i="70"/>
  <c r="D13" i="70"/>
  <c r="E14" i="26"/>
  <c r="E13" i="26"/>
  <c r="D14" i="26"/>
  <c r="D13" i="26"/>
  <c r="E14" i="39"/>
  <c r="E13" i="39"/>
  <c r="D14" i="39"/>
  <c r="D13" i="39"/>
  <c r="E14" i="40"/>
  <c r="E13" i="40"/>
  <c r="D14" i="40"/>
  <c r="D13" i="40"/>
  <c r="E12" i="41"/>
  <c r="E11" i="41"/>
  <c r="E23" i="41"/>
  <c r="G7" i="55"/>
  <c r="F9" i="55"/>
  <c r="E13" i="41"/>
  <c r="F7" i="55"/>
  <c r="E34" i="39" l="1"/>
  <c r="R34" i="39" s="1"/>
  <c r="E55" i="40"/>
  <c r="T55" i="40" s="1"/>
  <c r="E17" i="40"/>
  <c r="T17" i="40" s="1"/>
  <c r="E32" i="39"/>
  <c r="R32" i="39" s="1"/>
  <c r="E53" i="40"/>
  <c r="T53" i="40" s="1"/>
  <c r="E27" i="40"/>
  <c r="T27" i="40" s="1"/>
  <c r="E22" i="40"/>
  <c r="T22" i="40" s="1"/>
  <c r="E43" i="40"/>
  <c r="T43" i="40" s="1"/>
  <c r="D15" i="71"/>
  <c r="J15" i="71" s="1"/>
  <c r="I15" i="71" s="1"/>
  <c r="E22" i="39"/>
  <c r="R22" i="39" s="1"/>
  <c r="E27" i="39"/>
  <c r="R27" i="39" s="1"/>
  <c r="E19" i="39"/>
  <c r="R19" i="39" s="1"/>
  <c r="E45" i="40"/>
  <c r="T45" i="40" s="1"/>
  <c r="E41" i="40"/>
  <c r="T41" i="40" s="1"/>
  <c r="E37" i="40"/>
  <c r="T37" i="40" s="1"/>
  <c r="E21" i="40"/>
  <c r="T21" i="40" s="1"/>
  <c r="E26" i="39"/>
  <c r="R26" i="39" s="1"/>
  <c r="E18" i="39"/>
  <c r="R18" i="39" s="1"/>
  <c r="E24" i="39"/>
  <c r="R24" i="39" s="1"/>
  <c r="E16" i="39"/>
  <c r="R16" i="39" s="1"/>
  <c r="E21" i="39"/>
  <c r="R21" i="39" s="1"/>
  <c r="E49" i="40"/>
  <c r="T49" i="40" s="1"/>
  <c r="E46" i="40"/>
  <c r="T46" i="40" s="1"/>
  <c r="E40" i="40"/>
  <c r="T40" i="40" s="1"/>
  <c r="E23" i="39"/>
  <c r="R23" i="39" s="1"/>
  <c r="E15" i="39"/>
  <c r="R15" i="39" s="1"/>
  <c r="E48" i="40"/>
  <c r="T48" i="40" s="1"/>
  <c r="E44" i="40"/>
  <c r="T44" i="40" s="1"/>
  <c r="E39" i="40"/>
  <c r="T39" i="40" s="1"/>
  <c r="E28" i="39"/>
  <c r="R28" i="39" s="1"/>
  <c r="E20" i="39"/>
  <c r="R20" i="39" s="1"/>
  <c r="E25" i="39"/>
  <c r="R25" i="39" s="1"/>
  <c r="E17" i="39"/>
  <c r="R17" i="39" s="1"/>
  <c r="E47" i="40"/>
  <c r="T47" i="40" s="1"/>
  <c r="E42" i="40"/>
  <c r="T42" i="40" s="1"/>
  <c r="E38" i="40"/>
  <c r="T38" i="40" s="1"/>
  <c r="E18" i="26"/>
  <c r="I18" i="26" s="1"/>
  <c r="H18" i="26" s="1"/>
  <c r="E16" i="26"/>
  <c r="I16" i="26" s="1"/>
  <c r="H16" i="26" s="1"/>
  <c r="E54" i="40"/>
  <c r="T54" i="40" s="1"/>
  <c r="E32" i="40"/>
  <c r="T32" i="40" s="1"/>
  <c r="E20" i="40"/>
  <c r="T20" i="40" s="1"/>
  <c r="E19" i="26"/>
  <c r="I19" i="26" s="1"/>
  <c r="H19" i="26" s="1"/>
  <c r="E17" i="26"/>
  <c r="I17" i="26" s="1"/>
  <c r="H17" i="26" s="1"/>
  <c r="E33" i="39"/>
  <c r="R33" i="39" s="1"/>
  <c r="E36" i="40"/>
  <c r="T36" i="40" s="1"/>
  <c r="E18" i="40"/>
  <c r="T18" i="40" s="1"/>
  <c r="E50" i="40"/>
  <c r="T50" i="40" s="1"/>
  <c r="E29" i="39"/>
  <c r="R29" i="39" s="1"/>
  <c r="E22" i="26"/>
  <c r="I22" i="26" s="1"/>
  <c r="H22" i="26" s="1"/>
  <c r="E21" i="26"/>
  <c r="I21" i="26" s="1"/>
  <c r="H21" i="26" s="1"/>
  <c r="E15" i="26"/>
  <c r="I15" i="26" s="1"/>
  <c r="H15" i="26" s="1"/>
  <c r="E33" i="40"/>
  <c r="T33" i="40" s="1"/>
  <c r="E29" i="40"/>
  <c r="T29" i="40" s="1"/>
  <c r="E20" i="26"/>
  <c r="I20" i="26" s="1"/>
  <c r="H20" i="26" s="1"/>
  <c r="E24" i="40"/>
  <c r="T24" i="40" s="1"/>
  <c r="E16" i="40"/>
  <c r="T16" i="40" s="1"/>
  <c r="E34" i="40"/>
  <c r="T34" i="40" s="1"/>
  <c r="E25" i="40"/>
  <c r="T25" i="40" s="1"/>
  <c r="E30" i="40"/>
  <c r="T30" i="40" s="1"/>
  <c r="E30" i="39"/>
  <c r="R30" i="39" s="1"/>
  <c r="E28" i="40"/>
  <c r="T28" i="40" s="1"/>
  <c r="E35" i="40"/>
  <c r="T35" i="40" s="1"/>
  <c r="E23" i="40"/>
  <c r="T23" i="40" s="1"/>
  <c r="E15" i="40"/>
  <c r="T15" i="40" s="1"/>
  <c r="E51" i="40"/>
  <c r="T51" i="40" s="1"/>
  <c r="E17" i="70"/>
  <c r="I17" i="70" s="1"/>
  <c r="H17" i="70" s="1"/>
  <c r="G9" i="55" s="1"/>
  <c r="E15" i="70"/>
  <c r="I15" i="70" s="1"/>
  <c r="H15" i="70" s="1"/>
  <c r="G8" i="55" s="1"/>
  <c r="E31" i="39"/>
  <c r="R31" i="39" s="1"/>
  <c r="E52" i="40"/>
  <c r="T52" i="40" s="1"/>
  <c r="E31" i="40"/>
  <c r="T31" i="40" s="1"/>
  <c r="E19" i="40"/>
  <c r="T19" i="40" s="1"/>
  <c r="E26" i="40"/>
  <c r="T26" i="40" s="1"/>
  <c r="D16" i="71"/>
  <c r="J16" i="71" s="1"/>
  <c r="I16" i="71" s="1"/>
  <c r="R13" i="39"/>
  <c r="P13" i="39" s="1"/>
  <c r="T14" i="40"/>
  <c r="M14" i="40" s="1"/>
  <c r="N14" i="40" s="1"/>
  <c r="H16" i="55"/>
  <c r="J13" i="71"/>
  <c r="I13" i="71" s="1"/>
  <c r="I13" i="26"/>
  <c r="I13" i="70"/>
  <c r="F8" i="55"/>
  <c r="I14" i="26"/>
  <c r="H14" i="26" s="1"/>
  <c r="I14" i="70"/>
  <c r="H14" i="70" s="1"/>
  <c r="J14" i="71"/>
  <c r="T13" i="40"/>
  <c r="R26" i="40" l="1"/>
  <c r="G26" i="40"/>
  <c r="H26" i="40" s="1"/>
  <c r="J26" i="40"/>
  <c r="K26" i="40" s="1"/>
  <c r="P26" i="40"/>
  <c r="Q26" i="40" s="1"/>
  <c r="M26" i="40"/>
  <c r="N26" i="40" s="1"/>
  <c r="P29" i="39"/>
  <c r="O29" i="39"/>
  <c r="Q29" i="39" s="1"/>
  <c r="R40" i="40"/>
  <c r="M40" i="40"/>
  <c r="N40" i="40" s="1"/>
  <c r="G40" i="40"/>
  <c r="H40" i="40" s="1"/>
  <c r="J40" i="40"/>
  <c r="K40" i="40" s="1"/>
  <c r="P40" i="40"/>
  <c r="Q40" i="40" s="1"/>
  <c r="R21" i="40"/>
  <c r="G21" i="40"/>
  <c r="H21" i="40" s="1"/>
  <c r="J21" i="40"/>
  <c r="K21" i="40" s="1"/>
  <c r="M21" i="40"/>
  <c r="N21" i="40" s="1"/>
  <c r="P21" i="40"/>
  <c r="Q21" i="40" s="1"/>
  <c r="G43" i="40"/>
  <c r="H43" i="40" s="1"/>
  <c r="R43" i="40"/>
  <c r="P43" i="40"/>
  <c r="Q43" i="40" s="1"/>
  <c r="M43" i="40"/>
  <c r="N43" i="40" s="1"/>
  <c r="J43" i="40"/>
  <c r="K43" i="40" s="1"/>
  <c r="R19" i="40"/>
  <c r="P19" i="40"/>
  <c r="Q19" i="40" s="1"/>
  <c r="M19" i="40"/>
  <c r="N19" i="40" s="1"/>
  <c r="J19" i="40"/>
  <c r="K19" i="40" s="1"/>
  <c r="G19" i="40"/>
  <c r="H19" i="40" s="1"/>
  <c r="S19" i="40" s="1"/>
  <c r="R23" i="40"/>
  <c r="M23" i="40"/>
  <c r="N23" i="40" s="1"/>
  <c r="J23" i="40"/>
  <c r="K23" i="40" s="1"/>
  <c r="G23" i="40"/>
  <c r="H23" i="40" s="1"/>
  <c r="S23" i="40" s="1"/>
  <c r="P23" i="40"/>
  <c r="Q23" i="40" s="1"/>
  <c r="R24" i="40"/>
  <c r="J24" i="40"/>
  <c r="K24" i="40" s="1"/>
  <c r="P24" i="40"/>
  <c r="Q24" i="40" s="1"/>
  <c r="G24" i="40"/>
  <c r="H24" i="40" s="1"/>
  <c r="M24" i="40"/>
  <c r="N24" i="40" s="1"/>
  <c r="R50" i="40"/>
  <c r="J50" i="40"/>
  <c r="K50" i="40" s="1"/>
  <c r="G50" i="40"/>
  <c r="H50" i="40" s="1"/>
  <c r="M50" i="40"/>
  <c r="N50" i="40" s="1"/>
  <c r="P50" i="40"/>
  <c r="Q50" i="40" s="1"/>
  <c r="R54" i="40"/>
  <c r="P54" i="40"/>
  <c r="Q54" i="40" s="1"/>
  <c r="M54" i="40"/>
  <c r="N54" i="40" s="1"/>
  <c r="G54" i="40"/>
  <c r="H54" i="40" s="1"/>
  <c r="J54" i="40"/>
  <c r="K54" i="40" s="1"/>
  <c r="P20" i="39"/>
  <c r="O20" i="39"/>
  <c r="Q20" i="39" s="1"/>
  <c r="R46" i="40"/>
  <c r="J46" i="40"/>
  <c r="K46" i="40" s="1"/>
  <c r="G46" i="40"/>
  <c r="H46" i="40" s="1"/>
  <c r="S46" i="40" s="1"/>
  <c r="P46" i="40"/>
  <c r="Q46" i="40" s="1"/>
  <c r="M46" i="40"/>
  <c r="N46" i="40" s="1"/>
  <c r="R37" i="40"/>
  <c r="J37" i="40"/>
  <c r="K37" i="40" s="1"/>
  <c r="M37" i="40"/>
  <c r="N37" i="40" s="1"/>
  <c r="G37" i="40"/>
  <c r="H37" i="40" s="1"/>
  <c r="P37" i="40"/>
  <c r="Q37" i="40" s="1"/>
  <c r="R22" i="40"/>
  <c r="M22" i="40"/>
  <c r="N22" i="40" s="1"/>
  <c r="J22" i="40"/>
  <c r="K22" i="40" s="1"/>
  <c r="P22" i="40"/>
  <c r="Q22" i="40" s="1"/>
  <c r="G22" i="40"/>
  <c r="H22" i="40" s="1"/>
  <c r="R31" i="40"/>
  <c r="P31" i="40"/>
  <c r="Q31" i="40" s="1"/>
  <c r="M31" i="40"/>
  <c r="N31" i="40" s="1"/>
  <c r="G31" i="40"/>
  <c r="H31" i="40" s="1"/>
  <c r="J31" i="40"/>
  <c r="K31" i="40" s="1"/>
  <c r="R35" i="40"/>
  <c r="J35" i="40"/>
  <c r="K35" i="40" s="1"/>
  <c r="G35" i="40"/>
  <c r="H35" i="40" s="1"/>
  <c r="P35" i="40"/>
  <c r="Q35" i="40" s="1"/>
  <c r="M35" i="40"/>
  <c r="N35" i="40" s="1"/>
  <c r="R18" i="40"/>
  <c r="G18" i="40"/>
  <c r="H18" i="40" s="1"/>
  <c r="P18" i="40"/>
  <c r="Q18" i="40" s="1"/>
  <c r="J18" i="40"/>
  <c r="K18" i="40" s="1"/>
  <c r="M18" i="40"/>
  <c r="N18" i="40" s="1"/>
  <c r="P28" i="39"/>
  <c r="O28" i="39"/>
  <c r="R49" i="40"/>
  <c r="M49" i="40"/>
  <c r="N49" i="40" s="1"/>
  <c r="J49" i="40"/>
  <c r="K49" i="40" s="1"/>
  <c r="G49" i="40"/>
  <c r="H49" i="40" s="1"/>
  <c r="P49" i="40"/>
  <c r="Q49" i="40" s="1"/>
  <c r="R41" i="40"/>
  <c r="M41" i="40"/>
  <c r="N41" i="40" s="1"/>
  <c r="P41" i="40"/>
  <c r="Q41" i="40" s="1"/>
  <c r="G41" i="40"/>
  <c r="H41" i="40" s="1"/>
  <c r="J41" i="40"/>
  <c r="K41" i="40" s="1"/>
  <c r="R27" i="40"/>
  <c r="G27" i="40"/>
  <c r="H27" i="40" s="1"/>
  <c r="M27" i="40"/>
  <c r="N27" i="40" s="1"/>
  <c r="J27" i="40"/>
  <c r="K27" i="40" s="1"/>
  <c r="P27" i="40"/>
  <c r="Q27" i="40" s="1"/>
  <c r="R52" i="40"/>
  <c r="G52" i="40"/>
  <c r="H52" i="40" s="1"/>
  <c r="S52" i="40" s="1"/>
  <c r="P52" i="40"/>
  <c r="Q52" i="40" s="1"/>
  <c r="J52" i="40"/>
  <c r="K52" i="40" s="1"/>
  <c r="M52" i="40"/>
  <c r="N52" i="40" s="1"/>
  <c r="R28" i="40"/>
  <c r="J28" i="40"/>
  <c r="K28" i="40" s="1"/>
  <c r="G28" i="40"/>
  <c r="H28" i="40" s="1"/>
  <c r="P28" i="40"/>
  <c r="Q28" i="40" s="1"/>
  <c r="M28" i="40"/>
  <c r="N28" i="40" s="1"/>
  <c r="R29" i="40"/>
  <c r="P29" i="40"/>
  <c r="Q29" i="40" s="1"/>
  <c r="G29" i="40"/>
  <c r="H29" i="40" s="1"/>
  <c r="J29" i="40"/>
  <c r="K29" i="40" s="1"/>
  <c r="M29" i="40"/>
  <c r="N29" i="40" s="1"/>
  <c r="R36" i="40"/>
  <c r="J36" i="40"/>
  <c r="K36" i="40" s="1"/>
  <c r="G36" i="40"/>
  <c r="H36" i="40" s="1"/>
  <c r="M36" i="40"/>
  <c r="N36" i="40" s="1"/>
  <c r="P36" i="40"/>
  <c r="Q36" i="40" s="1"/>
  <c r="R39" i="40"/>
  <c r="M39" i="40"/>
  <c r="N39" i="40" s="1"/>
  <c r="G39" i="40"/>
  <c r="H39" i="40" s="1"/>
  <c r="S39" i="40" s="1"/>
  <c r="J39" i="40"/>
  <c r="K39" i="40" s="1"/>
  <c r="P39" i="40"/>
  <c r="Q39" i="40" s="1"/>
  <c r="P21" i="39"/>
  <c r="O21" i="39"/>
  <c r="R45" i="40"/>
  <c r="J45" i="40"/>
  <c r="K45" i="40" s="1"/>
  <c r="G45" i="40"/>
  <c r="H45" i="40" s="1"/>
  <c r="P45" i="40"/>
  <c r="Q45" i="40" s="1"/>
  <c r="M45" i="40"/>
  <c r="N45" i="40" s="1"/>
  <c r="R53" i="40"/>
  <c r="J53" i="40"/>
  <c r="K53" i="40" s="1"/>
  <c r="G53" i="40"/>
  <c r="H53" i="40" s="1"/>
  <c r="P53" i="40"/>
  <c r="Q53" i="40" s="1"/>
  <c r="M53" i="40"/>
  <c r="N53" i="40" s="1"/>
  <c r="R16" i="40"/>
  <c r="M16" i="40"/>
  <c r="N16" i="40" s="1"/>
  <c r="S16" i="40" s="1"/>
  <c r="G16" i="40"/>
  <c r="H16" i="40" s="1"/>
  <c r="P16" i="40"/>
  <c r="Q16" i="40" s="1"/>
  <c r="J16" i="40"/>
  <c r="K16" i="40" s="1"/>
  <c r="P25" i="39"/>
  <c r="O25" i="39"/>
  <c r="Q25" i="39" s="1"/>
  <c r="P31" i="39"/>
  <c r="H38" i="41" s="1"/>
  <c r="O31" i="39"/>
  <c r="P30" i="39"/>
  <c r="H39" i="41" s="1"/>
  <c r="O30" i="39"/>
  <c r="R33" i="40"/>
  <c r="J33" i="40"/>
  <c r="K33" i="40" s="1"/>
  <c r="G33" i="40"/>
  <c r="H33" i="40" s="1"/>
  <c r="P33" i="40"/>
  <c r="Q33" i="40" s="1"/>
  <c r="M33" i="40"/>
  <c r="N33" i="40" s="1"/>
  <c r="P33" i="39"/>
  <c r="H43" i="41" s="1"/>
  <c r="O33" i="39"/>
  <c r="R38" i="40"/>
  <c r="J38" i="40"/>
  <c r="K38" i="40" s="1"/>
  <c r="M38" i="40"/>
  <c r="N38" i="40" s="1"/>
  <c r="G38" i="40"/>
  <c r="H38" i="40" s="1"/>
  <c r="P38" i="40"/>
  <c r="Q38" i="40" s="1"/>
  <c r="R44" i="40"/>
  <c r="G44" i="40"/>
  <c r="H44" i="40" s="1"/>
  <c r="P44" i="40"/>
  <c r="Q44" i="40" s="1"/>
  <c r="M44" i="40"/>
  <c r="N44" i="40" s="1"/>
  <c r="J44" i="40"/>
  <c r="K44" i="40" s="1"/>
  <c r="P16" i="39"/>
  <c r="O16" i="39"/>
  <c r="P19" i="39"/>
  <c r="O19" i="39"/>
  <c r="P32" i="39"/>
  <c r="H36" i="41" s="1"/>
  <c r="O32" i="39"/>
  <c r="R15" i="40"/>
  <c r="G15" i="40"/>
  <c r="H15" i="40" s="1"/>
  <c r="P15" i="40"/>
  <c r="Q15" i="40" s="1"/>
  <c r="J15" i="40"/>
  <c r="K15" i="40" s="1"/>
  <c r="M15" i="40"/>
  <c r="N15" i="40" s="1"/>
  <c r="S15" i="40" s="1"/>
  <c r="R32" i="40"/>
  <c r="M32" i="40"/>
  <c r="N32" i="40" s="1"/>
  <c r="G32" i="40"/>
  <c r="H32" i="40" s="1"/>
  <c r="S32" i="40" s="1"/>
  <c r="J32" i="40"/>
  <c r="K32" i="40" s="1"/>
  <c r="P32" i="40"/>
  <c r="Q32" i="40" s="1"/>
  <c r="S26" i="40"/>
  <c r="S40" i="40"/>
  <c r="R30" i="40"/>
  <c r="J30" i="40"/>
  <c r="K30" i="40" s="1"/>
  <c r="G30" i="40"/>
  <c r="H30" i="40" s="1"/>
  <c r="S30" i="40" s="1"/>
  <c r="P30" i="40"/>
  <c r="Q30" i="40" s="1"/>
  <c r="M30" i="40"/>
  <c r="N30" i="40" s="1"/>
  <c r="R42" i="40"/>
  <c r="M42" i="40"/>
  <c r="N42" i="40" s="1"/>
  <c r="P42" i="40"/>
  <c r="Q42" i="40" s="1"/>
  <c r="G42" i="40"/>
  <c r="H42" i="40" s="1"/>
  <c r="J42" i="40"/>
  <c r="K42" i="40" s="1"/>
  <c r="R48" i="40"/>
  <c r="M48" i="40"/>
  <c r="N48" i="40" s="1"/>
  <c r="P48" i="40"/>
  <c r="Q48" i="40" s="1"/>
  <c r="G48" i="40"/>
  <c r="H48" i="40" s="1"/>
  <c r="J48" i="40"/>
  <c r="K48" i="40" s="1"/>
  <c r="P24" i="39"/>
  <c r="O24" i="39"/>
  <c r="P27" i="39"/>
  <c r="O27" i="39"/>
  <c r="Q27" i="39" s="1"/>
  <c r="R17" i="40"/>
  <c r="J17" i="40"/>
  <c r="K17" i="40" s="1"/>
  <c r="P17" i="40"/>
  <c r="Q17" i="40" s="1"/>
  <c r="M17" i="40"/>
  <c r="N17" i="40" s="1"/>
  <c r="G17" i="40"/>
  <c r="H17" i="40" s="1"/>
  <c r="R25" i="40"/>
  <c r="G25" i="40"/>
  <c r="H25" i="40" s="1"/>
  <c r="J25" i="40"/>
  <c r="K25" i="40" s="1"/>
  <c r="P25" i="40"/>
  <c r="Q25" i="40" s="1"/>
  <c r="M25" i="40"/>
  <c r="N25" i="40" s="1"/>
  <c r="R47" i="40"/>
  <c r="M47" i="40"/>
  <c r="N47" i="40" s="1"/>
  <c r="P47" i="40"/>
  <c r="Q47" i="40" s="1"/>
  <c r="G47" i="40"/>
  <c r="H47" i="40" s="1"/>
  <c r="J47" i="40"/>
  <c r="K47" i="40" s="1"/>
  <c r="P15" i="39"/>
  <c r="O15" i="39"/>
  <c r="P18" i="39"/>
  <c r="O18" i="39"/>
  <c r="Q18" i="39" s="1"/>
  <c r="P22" i="39"/>
  <c r="O22" i="39"/>
  <c r="R55" i="40"/>
  <c r="G55" i="40"/>
  <c r="H55" i="40" s="1"/>
  <c r="J55" i="40"/>
  <c r="K55" i="40" s="1"/>
  <c r="P55" i="40"/>
  <c r="Q55" i="40" s="1"/>
  <c r="M55" i="40"/>
  <c r="N55" i="40" s="1"/>
  <c r="R51" i="40"/>
  <c r="P51" i="40"/>
  <c r="Q51" i="40" s="1"/>
  <c r="M51" i="40"/>
  <c r="N51" i="40" s="1"/>
  <c r="J51" i="40"/>
  <c r="K51" i="40" s="1"/>
  <c r="G51" i="40"/>
  <c r="H51" i="40" s="1"/>
  <c r="R34" i="40"/>
  <c r="J34" i="40"/>
  <c r="K34" i="40" s="1"/>
  <c r="P34" i="40"/>
  <c r="Q34" i="40" s="1"/>
  <c r="M34" i="40"/>
  <c r="N34" i="40" s="1"/>
  <c r="G34" i="40"/>
  <c r="H34" i="40" s="1"/>
  <c r="R20" i="40"/>
  <c r="G20" i="40"/>
  <c r="H20" i="40" s="1"/>
  <c r="S20" i="40" s="1"/>
  <c r="J20" i="40"/>
  <c r="K20" i="40" s="1"/>
  <c r="M20" i="40"/>
  <c r="N20" i="40" s="1"/>
  <c r="P20" i="40"/>
  <c r="Q20" i="40" s="1"/>
  <c r="P17" i="39"/>
  <c r="O17" i="39"/>
  <c r="P23" i="39"/>
  <c r="O23" i="39"/>
  <c r="Q23" i="39" s="1"/>
  <c r="P26" i="39"/>
  <c r="O26" i="39"/>
  <c r="P34" i="39"/>
  <c r="H44" i="41" s="1"/>
  <c r="O34" i="39"/>
  <c r="G5" i="55"/>
  <c r="G6" i="55"/>
  <c r="I17" i="41"/>
  <c r="J14" i="40"/>
  <c r="K14" i="40" s="1"/>
  <c r="R14" i="40"/>
  <c r="P14" i="40"/>
  <c r="Q14" i="40" s="1"/>
  <c r="G14" i="40"/>
  <c r="H14" i="40" s="1"/>
  <c r="O13" i="39"/>
  <c r="Q13" i="39" s="1"/>
  <c r="I20" i="41"/>
  <c r="I21" i="41"/>
  <c r="I23" i="41"/>
  <c r="I14" i="71"/>
  <c r="C4" i="71" s="1"/>
  <c r="F31" i="41"/>
  <c r="F30" i="41"/>
  <c r="F34" i="41"/>
  <c r="F32" i="41"/>
  <c r="F33" i="41"/>
  <c r="H13" i="26"/>
  <c r="C4" i="26" s="1"/>
  <c r="B4" i="74"/>
  <c r="B6" i="74"/>
  <c r="H13" i="70"/>
  <c r="C4" i="70" s="1"/>
  <c r="J48" i="41" s="1"/>
  <c r="B5" i="74"/>
  <c r="B2" i="74"/>
  <c r="F5" i="55"/>
  <c r="F6" i="55"/>
  <c r="F4" i="39"/>
  <c r="E7" i="40"/>
  <c r="R13" i="40"/>
  <c r="E6" i="40"/>
  <c r="N13" i="40"/>
  <c r="H13" i="40"/>
  <c r="M13" i="40"/>
  <c r="G13" i="40"/>
  <c r="E5" i="40"/>
  <c r="Q13" i="40"/>
  <c r="J13" i="40"/>
  <c r="E8" i="40"/>
  <c r="K13" i="40"/>
  <c r="P13" i="40"/>
  <c r="S13" i="40"/>
  <c r="F43" i="41" l="1"/>
  <c r="S55" i="40"/>
  <c r="F44" i="41" s="1"/>
  <c r="S25" i="40"/>
  <c r="F40" i="41" s="1"/>
  <c r="S44" i="40"/>
  <c r="Q31" i="39"/>
  <c r="G38" i="41"/>
  <c r="S45" i="40"/>
  <c r="S54" i="40"/>
  <c r="S21" i="40"/>
  <c r="S34" i="40"/>
  <c r="F37" i="41" s="1"/>
  <c r="S47" i="40"/>
  <c r="C8" i="55" s="1"/>
  <c r="Q24" i="39"/>
  <c r="S42" i="40"/>
  <c r="Q19" i="39"/>
  <c r="S29" i="40"/>
  <c r="S27" i="40"/>
  <c r="S49" i="40"/>
  <c r="C7" i="55"/>
  <c r="Q17" i="39"/>
  <c r="Q22" i="39"/>
  <c r="S17" i="40"/>
  <c r="S18" i="40"/>
  <c r="F35" i="41" s="1"/>
  <c r="S31" i="40"/>
  <c r="F38" i="41" s="1"/>
  <c r="S24" i="40"/>
  <c r="Q16" i="39"/>
  <c r="S38" i="40"/>
  <c r="S33" i="40"/>
  <c r="S53" i="40"/>
  <c r="Q21" i="39"/>
  <c r="D7" i="40"/>
  <c r="Q34" i="39"/>
  <c r="G44" i="41"/>
  <c r="S48" i="40"/>
  <c r="S36" i="40"/>
  <c r="S41" i="40"/>
  <c r="S37" i="40"/>
  <c r="S43" i="40"/>
  <c r="Q32" i="39"/>
  <c r="G36" i="41"/>
  <c r="Q33" i="39"/>
  <c r="G43" i="41"/>
  <c r="Q28" i="39"/>
  <c r="Q26" i="39"/>
  <c r="S51" i="40"/>
  <c r="Q15" i="39"/>
  <c r="Q30" i="39"/>
  <c r="G39" i="41"/>
  <c r="S28" i="40"/>
  <c r="F39" i="41" s="1"/>
  <c r="S35" i="40"/>
  <c r="S22" i="40"/>
  <c r="S50" i="40"/>
  <c r="C9" i="55" s="1"/>
  <c r="G10" i="55"/>
  <c r="S14" i="40"/>
  <c r="D5" i="40"/>
  <c r="D6" i="40"/>
  <c r="D8" i="40"/>
  <c r="C23" i="55"/>
  <c r="E23" i="55"/>
  <c r="G23" i="55"/>
  <c r="D24" i="55"/>
  <c r="F24" i="55"/>
  <c r="C25" i="55"/>
  <c r="E25" i="55"/>
  <c r="G25"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E26" i="55"/>
  <c r="G26" i="55"/>
  <c r="D27" i="55"/>
  <c r="F27" i="55"/>
  <c r="C28" i="55"/>
  <c r="E28" i="55"/>
  <c r="G28" i="55"/>
  <c r="D29" i="55"/>
  <c r="F29"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8" i="41"/>
  <c r="E9" i="40"/>
  <c r="C6" i="55" l="1"/>
  <c r="F36" i="41"/>
  <c r="C30" i="55"/>
  <c r="F42" i="41"/>
  <c r="C5" i="55"/>
  <c r="C10" i="55" s="1"/>
  <c r="F27" i="41"/>
  <c r="C15" i="55" s="1"/>
  <c r="L43" i="41"/>
  <c r="L34" i="41"/>
  <c r="L41" i="41"/>
  <c r="L44" i="41"/>
  <c r="L42" i="41"/>
  <c r="L40" i="41"/>
  <c r="L39" i="41"/>
  <c r="L38" i="41"/>
  <c r="L37" i="41"/>
  <c r="L36" i="41"/>
  <c r="L35" i="41"/>
  <c r="L33" i="41"/>
  <c r="L32" i="41"/>
  <c r="L29" i="41"/>
  <c r="L30" i="41"/>
  <c r="D9" i="40"/>
  <c r="D17" i="41" s="1"/>
  <c r="I9" i="55"/>
  <c r="I8" i="55"/>
  <c r="H32" i="55"/>
  <c r="H28" i="55"/>
  <c r="H24" i="55"/>
  <c r="H31" i="55"/>
  <c r="H27" i="55"/>
  <c r="H34" i="55"/>
  <c r="H30"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E77" i="55"/>
  <c r="G77" i="55"/>
  <c r="F77" i="55"/>
  <c r="G17" i="55" l="1"/>
  <c r="C17" i="55"/>
  <c r="F17" i="55"/>
  <c r="K27" i="41"/>
  <c r="H15" i="55" s="1"/>
  <c r="H17" i="55" s="1"/>
  <c r="D10" i="39"/>
  <c r="D22" i="41" s="1"/>
  <c r="H5" i="55"/>
  <c r="H10" i="55" s="1"/>
  <c r="R14" i="39"/>
  <c r="I19" i="41" s="1"/>
  <c r="O14" i="39" l="1"/>
  <c r="F6" i="39"/>
  <c r="F8" i="39" s="1"/>
  <c r="B3" i="74"/>
  <c r="I18" i="41"/>
  <c r="P14" i="39"/>
  <c r="I22" i="41"/>
  <c r="H31" i="41" l="1"/>
  <c r="H28" i="41"/>
  <c r="G28" i="41"/>
  <c r="D23" i="55"/>
  <c r="H23" i="55" s="1"/>
  <c r="D26" i="55"/>
  <c r="D22" i="55"/>
  <c r="G31" i="41"/>
  <c r="C26" i="55"/>
  <c r="D6" i="55"/>
  <c r="D7" i="55"/>
  <c r="E6" i="55"/>
  <c r="E7" i="55"/>
  <c r="D9" i="39"/>
  <c r="D19" i="41" s="1"/>
  <c r="E5" i="55"/>
  <c r="H27" i="41"/>
  <c r="D7" i="39"/>
  <c r="D5" i="55"/>
  <c r="C22" i="55"/>
  <c r="Q14" i="39"/>
  <c r="G27" i="41"/>
  <c r="D8" i="39"/>
  <c r="D6" i="39"/>
  <c r="H26" i="55" l="1"/>
  <c r="L31" i="41"/>
  <c r="L28" i="41"/>
  <c r="I6" i="55"/>
  <c r="D77" i="55"/>
  <c r="I7" i="55"/>
  <c r="E10" i="55"/>
  <c r="E6" i="39"/>
  <c r="D15" i="55"/>
  <c r="D16" i="55"/>
  <c r="E15" i="55"/>
  <c r="E16" i="55"/>
  <c r="L27" i="41"/>
  <c r="H22" i="55"/>
  <c r="C77" i="55"/>
  <c r="E8" i="39"/>
  <c r="D18" i="41"/>
  <c r="D23" i="41" s="1"/>
  <c r="I5" i="55"/>
  <c r="D10" i="55"/>
  <c r="I10" i="55" l="1"/>
  <c r="H77" i="55"/>
  <c r="I16" i="55"/>
  <c r="I15" i="55"/>
  <c r="E17" i="55"/>
  <c r="D17" i="55"/>
  <c r="I17" i="55" l="1"/>
</calcChain>
</file>

<file path=xl/sharedStrings.xml><?xml version="1.0" encoding="utf-8"?>
<sst xmlns="http://schemas.openxmlformats.org/spreadsheetml/2006/main" count="985" uniqueCount="411">
  <si>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</si>
  <si>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</si>
  <si>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</si>
  <si>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</si>
  <si>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</si>
  <si>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</si>
  <si>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</si>
  <si>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</si>
  <si>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</si>
  <si>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</si>
  <si>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</si>
  <si>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</si>
  <si>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</si>
  <si>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</si>
  <si>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</si>
  <si>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</si>
  <si>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</si>
  <si>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</si>
  <si>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</si>
  <si>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</si>
  <si>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</si>
  <si>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</si>
  <si>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</si>
  <si>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</si>
  <si>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</si>
  <si>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</si>
  <si>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</si>
  <si>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</si>
  <si>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</si>
  <si>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</si>
  <si>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</si>
  <si>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</si>
  <si>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</si>
  <si>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</si>
  <si>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</si>
  <si>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</si>
  <si>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</si>
  <si>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</si>
  <si>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</si>
  <si>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</si>
  <si>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</si>
  <si>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</si>
  <si>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</si>
  <si>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</si>
  <si>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</si>
  <si>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</si>
  <si>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</si>
  <si>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</si>
  <si>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</si>
  <si>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</si>
  <si>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</si>
  <si>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</si>
  <si>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</si>
  <si>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</si>
  <si>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</si>
  <si>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</si>
  <si>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</si>
  <si>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</si>
  <si>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</si>
  <si>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</si>
  <si>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</si>
  <si>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</si>
  <si>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</si>
  <si>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</si>
  <si>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</si>
  <si>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</si>
  <si>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</si>
  <si>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</si>
  <si>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</si>
  <si>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</si>
  <si>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</si>
  <si>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</si>
  <si>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</si>
  <si>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</si>
  <si>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</si>
  <si>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</si>
  <si>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</si>
  <si>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</si>
  <si>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</si>
  <si>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</si>
  <si>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</si>
  <si>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</si>
  <si>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</si>
  <si>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</si>
  <si>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</si>
  <si>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</si>
  <si>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</si>
  <si>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</si>
  <si>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</si>
  <si>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</si>
  <si>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</si>
  <si>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</si>
  <si>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</si>
  <si>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</si>
  <si>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</si>
  <si>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</si>
  <si>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</si>
  <si>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</si>
  <si>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</si>
  <si>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</si>
  <si>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</si>
  <si>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</si>
  <si>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</si>
  <si>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</si>
  <si>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</si>
  <si>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</si>
  <si>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</si>
  <si>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</si>
  <si>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</si>
  <si>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</si>
  <si>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</si>
  <si>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</si>
  <si>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</si>
  <si>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</si>
  <si>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</si>
  <si>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</si>
  <si>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</si>
  <si>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</si>
  <si>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</si>
  <si>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</si>
  <si>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</si>
  <si>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</si>
  <si>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</si>
  <si>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</si>
  <si>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</si>
  <si>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</si>
  <si>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</si>
  <si>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</si>
  <si>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</si>
  <si>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</si>
  <si>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</si>
  <si>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</si>
  <si>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</si>
  <si>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</si>
  <si>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</si>
  <si>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</si>
  <si>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</si>
  <si>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</si>
  <si>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</si>
  <si>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</si>
  <si>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</si>
  <si>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</si>
  <si>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</si>
  <si>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</si>
  <si>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</si>
  <si>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</si>
  <si>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</si>
  <si>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</si>
  <si>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</si>
  <si>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</si>
  <si>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</si>
  <si>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</si>
  <si>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</si>
  <si>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</si>
  <si>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</si>
  <si>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</si>
  <si>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</si>
  <si>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</si>
  <si>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</si>
  <si>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</si>
  <si>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</si>
  <si>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</si>
  <si>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</si>
  <si>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</si>
  <si>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</si>
  <si>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</si>
  <si>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</si>
  <si>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</si>
  <si>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</si>
  <si>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</si>
  <si>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</si>
  <si>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</si>
  <si>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</si>
  <si>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</si>
  <si>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</si>
  <si>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</si>
  <si>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</si>
  <si>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</si>
  <si>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</si>
  <si>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</si>
  <si>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</si>
  <si>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</si>
  <si>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</si>
  <si>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</si>
  <si>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</si>
  <si>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</si>
  <si>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</si>
  <si>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</si>
  <si>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</si>
  <si>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</si>
  <si>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</si>
  <si>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</si>
  <si>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</si>
  <si>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</si>
  <si>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</si>
  <si>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</si>
  <si>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</si>
  <si>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</si>
  <si>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</si>
  <si>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</si>
  <si>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</si>
  <si>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</si>
  <si>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</si>
  <si>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</si>
  <si>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</si>
  <si>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</si>
  <si>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</si>
  <si>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</si>
  <si>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</si>
  <si>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</si>
  <si>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</si>
  <si>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</si>
  <si>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</si>
  <si>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</si>
  <si>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</si>
  <si>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</si>
  <si>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</si>
  <si>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</si>
  <si>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</si>
  <si>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</si>
  <si>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</si>
  <si>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</si>
  <si>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</si>
  <si>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</si>
  <si>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</si>
  <si>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</si>
  <si>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</si>
  <si>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</si>
  <si>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</si>
  <si>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</si>
  <si>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</si>
  <si>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</si>
  <si>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</si>
  <si>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</si>
  <si>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</si>
  <si>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</si>
  <si>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</si>
  <si>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</si>
  <si>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</si>
  <si>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</si>
  <si>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</si>
  <si>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</si>
  <si>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</si>
  <si>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</si>
  <si>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</si>
  <si>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</si>
  <si>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</si>
  <si>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</si>
  <si>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</si>
  <si>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</si>
  <si>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</si>
  <si>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</si>
  <si>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</si>
  <si>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</si>
  <si>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</si>
  <si>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</si>
  <si>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</si>
  <si>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</si>
  <si>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</si>
  <si>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</si>
  <si>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</si>
  <si>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</si>
  <si>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</si>
  <si>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</si>
  <si>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</si>
  <si>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</si>
  <si>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</si>
  <si>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</si>
  <si>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</si>
  <si>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</si>
  <si>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</si>
  <si>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</si>
  <si>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</si>
  <si>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</si>
  <si>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</si>
  <si>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</si>
  <si>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</si>
  <si>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</si>
  <si>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</si>
  <si>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</si>
  <si>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</si>
  <si>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</si>
  <si>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</si>
  <si>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</si>
  <si>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</si>
  <si>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</si>
  <si>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</si>
  <si>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</si>
  <si>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</si>
  <si>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</si>
  <si>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</si>
  <si>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</si>
  <si>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</si>
  <si>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</si>
  <si>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</si>
  <si>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</si>
  <si>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</si>
  <si>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</si>
  <si>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</si>
  <si>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</si>
  <si>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</si>
  <si>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</si>
  <si>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</si>
  <si>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</si>
  <si>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</si>
  <si>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</si>
  <si>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</si>
  <si>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</si>
  <si>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</si>
  <si>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</si>
  <si>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</si>
  <si>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</si>
  <si>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</si>
  <si>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</si>
  <si>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</si>
  <si>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</si>
  <si>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</si>
  <si>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</si>
  <si>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</si>
  <si>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</si>
  <si>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</si>
  <si>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</si>
  <si>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</si>
  <si>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</si>
  <si>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</si>
  <si>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</si>
  <si>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</si>
  <si>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</si>
  <si>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</si>
  <si>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</si>
  <si>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</si>
  <si>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</si>
  <si>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</si>
  <si>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</si>
  <si>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</si>
  <si>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</si>
  <si>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</si>
  <si>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</si>
  <si>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</si>
  <si>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</si>
  <si>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</si>
  <si>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</si>
  <si>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</si>
  <si>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</si>
  <si>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</si>
  <si>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</si>
  <si>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</si>
  <si>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</si>
  <si>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</si>
  <si>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</si>
  <si>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</si>
  <si>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</si>
  <si>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</si>
  <si>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</si>
  <si>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</si>
  <si>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</si>
  <si>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</si>
  <si>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</si>
  <si>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</si>
  <si>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</si>
  <si>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Udruženje "Sport za sve i rekreacija"</t>
  </si>
  <si>
    <t>SheTech team, DUNP</t>
  </si>
  <si>
    <t>Predškolska ustanova "Mladost"</t>
  </si>
  <si>
    <t>Ministarstvo zdravlja</t>
  </si>
  <si>
    <t>Iron Sport doo</t>
  </si>
  <si>
    <t>Pokret za okret</t>
  </si>
  <si>
    <t xml:space="preserve">Ustanova za sport </t>
  </si>
  <si>
    <t>Planeta Sport</t>
  </si>
  <si>
    <t>Turkiye Milli Olimpiyat Komitesi</t>
  </si>
  <si>
    <t>Nacionalni športni centar Planica</t>
  </si>
  <si>
    <t>Federazione Italiana Sport per Tutti</t>
  </si>
  <si>
    <t>National Sports Academy "Vassil Levski"</t>
  </si>
  <si>
    <t>Dinamo Zagreb sportska akademija</t>
  </si>
  <si>
    <t>TAFISA</t>
  </si>
  <si>
    <t>Deutsche Sporthochschule Koln</t>
  </si>
  <si>
    <t>Sportsko drustvo "Mornar"</t>
  </si>
  <si>
    <t>Sportski savez KS</t>
  </si>
  <si>
    <t>Škola sporta "FC Porto"</t>
  </si>
  <si>
    <t>Novi Pazar</t>
  </si>
  <si>
    <t>staff</t>
  </si>
  <si>
    <t>replace unit costs with exceptional costs</t>
  </si>
  <si>
    <t>Beograd</t>
  </si>
  <si>
    <t>Zagreb</t>
  </si>
  <si>
    <t>Sofia</t>
  </si>
  <si>
    <t>Ljubljana</t>
  </si>
  <si>
    <t>Sarajevo</t>
  </si>
  <si>
    <t>Lisabon</t>
  </si>
  <si>
    <t>2 (Sportski VR simulatori)</t>
  </si>
  <si>
    <t>35 laptopova(Razer Blade 18, Intel Core i9-13980HX, RTX 4090, 4TB M.2 SSD, 64GB DDR5 RAM)</t>
  </si>
  <si>
    <t>10(Samsung Galaxy Watch5 Pro BT)</t>
  </si>
  <si>
    <t>10 (Playstation VR2 Virtual Reality)</t>
  </si>
  <si>
    <t>10 (Lymb-one device)</t>
  </si>
  <si>
    <t>Structural Project</t>
  </si>
  <si>
    <t>SheTech</t>
  </si>
  <si>
    <t>Sportom do uspeha</t>
  </si>
  <si>
    <t>Potrena oprema u vidu lopti, reketa, golova</t>
  </si>
  <si>
    <t>1 uređaj (BENQ DVY32 Conference Camera Zoom Certified Smart 4K UHD)</t>
  </si>
  <si>
    <t>Prijavljeno osoblje koje će na lokalu učestvovati u diseminaciji projekta, osobe zadužene za izradu televizijskih reklama</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</si>
  <si>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</si>
  <si>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</si>
  <si>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</si>
  <si>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10 Epson projektor (Sistem projekcija: 3LCD
Tip lampe: UHE
Osvetljenje (ANSI lumena): 3.200
Rezolucija: 800 x 600 (SVGA)
Udaljenost projekcije: 1.77 m - 2.4 m ( 60" ekran)
Snaga lampe: 210 W)</t>
  </si>
  <si>
    <t xml:space="preserve">20 tablet uredjaja iPad </t>
  </si>
  <si>
    <t>Finansira troškove pripreme materijala za seminar</t>
  </si>
  <si>
    <t>Finansira troškove putovanja i odsedanja</t>
  </si>
  <si>
    <t>Deutsche Bank</t>
  </si>
  <si>
    <t>UniCredit</t>
  </si>
  <si>
    <t>Potrebna sredstva za: pripremu materijala za seminar (3 dana x 10 sati x 50 osoba x 25 eura)</t>
  </si>
  <si>
    <t>Potrebna sredstva za: troškove putovanja i odsedanja za dodatno osoblje (3 dana x 25 osoba x 500 eura)</t>
  </si>
  <si>
    <t>Potrebna sredstva za implementaciju i razvoj softvera.</t>
  </si>
  <si>
    <t>Banco Comercial Portuguê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</si>
</sst>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5"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558">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C26" zoomScale="64" zoomScaleNormal="84" zoomScaleSheetLayoutView="85" workbookViewId="0">
      <selection activeCell="D14" sqref="D14:L14"/>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35">
      <c r="B9" s="120" t="s">
        <v>130</v>
      </c>
      <c r="C9" s="120"/>
      <c r="D9" s="120"/>
      <c r="E9" s="120"/>
      <c r="F9" s="120"/>
      <c r="G9" s="120"/>
      <c r="H9" s="120"/>
      <c r="I9" s="120"/>
      <c r="J9" s="120"/>
      <c r="K9" s="120"/>
      <c r="L9" s="120"/>
    </row>
    <row r="10" spans="2:12" s="6" customFormat="1" ht="20.100000000000001" customHeight="1" x14ac:dyDescent="0.35">
      <c r="B10" s="10"/>
      <c r="C10" s="10"/>
      <c r="D10" s="5"/>
      <c r="E10" s="5"/>
      <c r="F10" s="5"/>
      <c r="G10" s="5"/>
      <c r="H10" s="5"/>
      <c r="I10" s="5"/>
      <c r="J10" s="5"/>
      <c r="K10" s="5"/>
    </row>
    <row r="11" spans="2:12" s="6" customFormat="1" ht="18" customHeight="1" x14ac:dyDescent="0.35">
      <c r="B11" s="112" t="s">
        <v>2</v>
      </c>
      <c r="C11" s="112"/>
      <c r="D11" s="11" t="s">
        <v>392</v>
      </c>
      <c r="E11" s="114" t="str">
        <f>IF(D11="","Please select Action Type",IF(OR(D11="Joint Project",D11="Structural Project"),"","Error Type of Action"))</f>
        <v/>
      </c>
      <c r="F11" s="114"/>
      <c r="G11" s="114"/>
      <c r="H11" s="114"/>
      <c r="I11" s="114"/>
      <c r="J11" s="114"/>
      <c r="K11" s="114"/>
      <c r="L11" s="114"/>
    </row>
    <row r="12" spans="2:12" s="6" customFormat="1" ht="18" customHeight="1" x14ac:dyDescent="0.35">
      <c r="B12" s="112" t="s">
        <v>136</v>
      </c>
      <c r="C12" s="112"/>
      <c r="D12" s="11">
        <v>24</v>
      </c>
      <c r="E12" s="114" t="str">
        <f>IF(D12="","Please select duration",IF(OR(D12=24,D12=36),"","Error duration"))</f>
        <v/>
      </c>
      <c r="F12" s="114"/>
      <c r="G12" s="114"/>
      <c r="H12" s="114"/>
      <c r="I12" s="114"/>
      <c r="J12" s="114"/>
      <c r="K12" s="114"/>
      <c r="L12" s="114"/>
    </row>
    <row r="13" spans="2:12" s="6" customFormat="1" ht="18" customHeight="1" x14ac:dyDescent="0.35">
      <c r="B13" s="112" t="s">
        <v>169</v>
      </c>
      <c r="C13" s="112"/>
      <c r="D13" s="11" t="s">
        <v>393</v>
      </c>
      <c r="E13" s="114" t="str">
        <f>IF(D13="","Please fill in Project Acronym","")</f>
        <v/>
      </c>
      <c r="F13" s="114"/>
      <c r="G13" s="114"/>
      <c r="H13" s="114"/>
      <c r="I13" s="114"/>
      <c r="J13" s="114"/>
      <c r="K13" s="114"/>
      <c r="L13" s="114"/>
    </row>
    <row r="14" spans="2:12" s="6" customFormat="1" ht="18" customHeight="1" x14ac:dyDescent="0.35">
      <c r="B14" s="112" t="s">
        <v>170</v>
      </c>
      <c r="C14" s="112"/>
      <c r="D14" s="115" t="s">
        <v>394</v>
      </c>
      <c r="E14" s="116"/>
      <c r="F14" s="116"/>
      <c r="G14" s="116"/>
      <c r="H14" s="116"/>
      <c r="I14" s="116"/>
      <c r="J14" s="116"/>
      <c r="K14" s="116"/>
      <c r="L14" s="117"/>
    </row>
    <row r="15" spans="2:12" s="6" customFormat="1" ht="20.100000000000001" customHeight="1" x14ac:dyDescent="0.35">
      <c r="B15" s="5"/>
      <c r="C15" s="5"/>
      <c r="D15" s="5"/>
      <c r="E15" s="5"/>
      <c r="F15" s="12"/>
      <c r="G15" s="5"/>
      <c r="H15" s="5"/>
      <c r="I15" s="5"/>
      <c r="J15" s="5"/>
      <c r="K15" s="5"/>
    </row>
    <row r="16" spans="2:12" s="6" customFormat="1" ht="24.9" customHeight="1" x14ac:dyDescent="0.35">
      <c r="B16" s="113" t="s">
        <v>222</v>
      </c>
      <c r="C16" s="113"/>
      <c r="D16" s="113"/>
      <c r="E16" s="113"/>
      <c r="F16" s="113"/>
      <c r="G16" s="113"/>
      <c r="H16" s="113"/>
      <c r="I16" s="113"/>
      <c r="J16" s="113"/>
      <c r="K16" s="113"/>
      <c r="L16" s="113"/>
    </row>
    <row r="17" spans="2:12" s="6" customFormat="1" x14ac:dyDescent="0.35">
      <c r="B17" s="112" t="s">
        <v>166</v>
      </c>
      <c r="C17" s="112"/>
      <c r="D17" s="13">
        <f>'1. Staff costs'!D9</f>
        <v>297608</v>
      </c>
      <c r="E17" s="121" t="str">
        <f>"Cannot exceed 40% of total Grant requested"</f>
        <v>Cannot exceed 40% of total Grant requested</v>
      </c>
      <c r="F17" s="122"/>
      <c r="G17" s="122"/>
      <c r="H17" s="122"/>
      <c r="I17" s="123" t="str">
        <f>IF(COUNTIF('1. Staff costs'!T:T,"Error")&lt;=1,"","Please check data in Tab '1. Staff Costs'")</f>
        <v/>
      </c>
      <c r="J17" s="123"/>
      <c r="K17" s="123"/>
      <c r="L17" s="124"/>
    </row>
    <row r="18" spans="2:12" s="6" customFormat="1" x14ac:dyDescent="0.35">
      <c r="B18" s="112" t="s">
        <v>341</v>
      </c>
      <c r="C18" s="112"/>
      <c r="D18" s="13">
        <f>' 2-3-6. Travel&amp;Costs of Stay'!D8</f>
        <v>0</v>
      </c>
      <c r="E18" s="121"/>
      <c r="F18" s="122"/>
      <c r="G18" s="122"/>
      <c r="H18" s="122"/>
      <c r="I18" s="123" t="str">
        <f>IF(COUNTIF(' 2-3-6. Travel&amp;Costs of Stay'!R:R,"Error")&lt;=1,"","Please check data in Tab '2-3-6. Travel&amp;Costs of Stay'")</f>
        <v/>
      </c>
      <c r="J18" s="123"/>
      <c r="K18" s="123"/>
      <c r="L18" s="124"/>
    </row>
    <row r="19" spans="2:12" s="6" customFormat="1" x14ac:dyDescent="0.35">
      <c r="B19" s="112" t="s">
        <v>187</v>
      </c>
      <c r="C19" s="112"/>
      <c r="D19" s="13">
        <f>' 2-3-6. Travel&amp;Costs of Stay'!D9</f>
        <v>202700</v>
      </c>
      <c r="E19" s="131"/>
      <c r="F19" s="132"/>
      <c r="G19" s="132"/>
      <c r="H19" s="132"/>
      <c r="I19" s="123" t="str">
        <f>IF(COUNTIF(' 2-3-6. Travel&amp;Costs of Stay'!R:R,"Error")&lt;=1,"","Please check data in Tab '2-3-6. Travel&amp;Costs of Stay'")</f>
        <v/>
      </c>
      <c r="J19" s="123"/>
      <c r="K19" s="123"/>
      <c r="L19" s="124"/>
    </row>
    <row r="20" spans="2:12" s="6" customFormat="1" x14ac:dyDescent="0.35">
      <c r="B20" s="112" t="s">
        <v>185</v>
      </c>
      <c r="C20" s="112"/>
      <c r="D20" s="13">
        <f>'4. Equipment Costs'!C4</f>
        <v>284000</v>
      </c>
      <c r="E20" s="121" t="str">
        <f>"Cannot exceed 30% of Total Grant requested"</f>
        <v>Cannot exceed 30% of Total Grant requested</v>
      </c>
      <c r="F20" s="122"/>
      <c r="G20" s="122"/>
      <c r="H20" s="122"/>
      <c r="I20" s="123" t="str">
        <f>IF(COUNTIF('4. Equipment Costs'!I:I,"Error")&lt;=1,"","Please check data in Tab '4. Equipment Costs''")</f>
        <v/>
      </c>
      <c r="J20" s="123"/>
      <c r="K20" s="123"/>
      <c r="L20" s="124"/>
    </row>
    <row r="21" spans="2:12" s="6" customFormat="1" x14ac:dyDescent="0.35">
      <c r="B21" s="112" t="s">
        <v>186</v>
      </c>
      <c r="C21" s="112"/>
      <c r="D21" s="13">
        <f>'5. Subcontracting Costs'!C4</f>
        <v>88000</v>
      </c>
      <c r="E21" s="121" t="str">
        <f>"Cannot exceed 10% of Total Grant requested"</f>
        <v>Cannot exceed 10% of Total Grant requested</v>
      </c>
      <c r="F21" s="122"/>
      <c r="G21" s="122"/>
      <c r="H21" s="122"/>
      <c r="I21" s="123" t="str">
        <f>IF(COUNTIF('5. Subcontracting Costs'!I:I,"Error")&lt;=1,"","Please check data in Tab '5. Subcontracting Costs'")</f>
        <v/>
      </c>
      <c r="J21" s="123"/>
      <c r="K21" s="123"/>
      <c r="L21" s="124"/>
    </row>
    <row r="22" spans="2:12" s="6" customFormat="1" x14ac:dyDescent="0.35">
      <c r="B22" s="112" t="s">
        <v>340</v>
      </c>
      <c r="C22" s="112"/>
      <c r="D22" s="13">
        <f>IF(OR(C27="",D27=""),0,' 2-3-6. Travel&amp;Costs of Stay'!D10)</f>
        <v>87200</v>
      </c>
      <c r="E22" s="121"/>
      <c r="F22" s="122"/>
      <c r="G22" s="122"/>
      <c r="H22" s="122"/>
      <c r="I22" s="123" t="str">
        <f>IF(COUNTIF(' 2-3-6. Travel&amp;Costs of Stay'!R:R,"Error")&lt;=1,"","Please check data in Tab '2-3-6. Travel&amp;Costs of Stay'")</f>
        <v/>
      </c>
      <c r="J22" s="123"/>
      <c r="K22" s="123"/>
      <c r="L22" s="124"/>
    </row>
    <row r="23" spans="2:12" ht="24.9" customHeight="1" x14ac:dyDescent="0.35">
      <c r="B23" s="125" t="s">
        <v>332</v>
      </c>
      <c r="C23" s="126"/>
      <c r="D23" s="14">
        <f>SUM(D17:D22)</f>
        <v>959508</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35">
      <c r="B24" s="5"/>
      <c r="C24" s="5"/>
      <c r="D24" s="5"/>
      <c r="E24" s="5"/>
      <c r="F24" s="12"/>
      <c r="G24" s="5"/>
      <c r="H24" s="5"/>
      <c r="I24" s="5"/>
      <c r="J24" s="5"/>
      <c r="K24" s="5"/>
    </row>
    <row r="25" spans="2:12" s="6" customFormat="1" ht="24.9" customHeight="1" x14ac:dyDescent="0.3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6292</v>
      </c>
      <c r="G27" s="20">
        <f>SUMIF(' 2-3-6. Travel&amp;Costs of Stay'!C:C,B27,' 2-3-6. Travel&amp;Costs of Stay'!O:O)</f>
        <v>0</v>
      </c>
      <c r="H27" s="20">
        <f>SUMIF(' 2-3-6. Travel&amp;Costs of Stay'!C:C,B27,' 2-3-6. Travel&amp;Costs of Stay'!P:P)</f>
        <v>11200</v>
      </c>
      <c r="I27" s="20">
        <f>SUMIF('4. Equipment Costs'!C:C,B27,'4. Equipment Costs'!H:H)</f>
        <v>0</v>
      </c>
      <c r="J27" s="20">
        <f>SUMIF('5. Subcontracting Costs'!C:C,B27,'5. Subcontracting Costs'!H:H)</f>
        <v>0</v>
      </c>
      <c r="K27" s="20">
        <f>SUMIF(' 2-3-6. Travel&amp;Costs of Stay'!C:C,B27,' 2-3-6. Travel&amp;Costs of Stay'!N:N)</f>
        <v>4000</v>
      </c>
      <c r="L27" s="21">
        <f>IF(OR(C27="",D27=""),0,SUM(F27:K27))</f>
        <v>21492</v>
      </c>
    </row>
    <row r="28" spans="2:12" x14ac:dyDescent="0.35">
      <c r="B28" s="48" t="s">
        <v>9</v>
      </c>
      <c r="C28" s="22" t="s">
        <v>361</v>
      </c>
      <c r="D28" s="18" t="s">
        <v>98</v>
      </c>
      <c r="E28" s="19" t="str">
        <f t="shared" si="0"/>
        <v>Programme Countries</v>
      </c>
      <c r="F28" s="20">
        <f>SUMIF('1. Staff costs'!C:C,B28,'1. Staff costs'!S:S)</f>
        <v>58896</v>
      </c>
      <c r="G28" s="20">
        <f>SUMIF(' 2-3-6. Travel&amp;Costs of Stay'!C:C,B28,' 2-3-6. Travel&amp;Costs of Stay'!O:O)</f>
        <v>0</v>
      </c>
      <c r="H28" s="20">
        <f>SUMIF(' 2-3-6. Travel&amp;Costs of Stay'!C:C,B28,' 2-3-6. Travel&amp;Costs of Stay'!P:P)</f>
        <v>135500</v>
      </c>
      <c r="I28" s="20">
        <f>SUMIF('4. Equipment Costs'!C:C,B28,'4. Equipment Costs'!H:H)</f>
        <v>0</v>
      </c>
      <c r="J28" s="20">
        <f>SUMIF('5. Subcontracting Costs'!C:C,B28,'5. Subcontracting Costs'!H:H)</f>
        <v>0</v>
      </c>
      <c r="K28" s="20">
        <f>SUMIF(' 2-3-6. Travel&amp;Costs of Stay'!C:C,B28,' 2-3-6. Travel&amp;Costs of Stay'!N:N)</f>
        <v>63200</v>
      </c>
      <c r="L28" s="21">
        <f t="shared" ref="L28:L81" si="1">IF(OR(C28="",D28=""),0,SUM(F28:K28))</f>
        <v>257596</v>
      </c>
    </row>
    <row r="29" spans="2:12" x14ac:dyDescent="0.35">
      <c r="B29" s="48" t="s">
        <v>10</v>
      </c>
      <c r="C29" s="22" t="s">
        <v>362</v>
      </c>
      <c r="D29" s="18" t="s">
        <v>98</v>
      </c>
      <c r="E29" s="19" t="str">
        <f t="shared" si="0"/>
        <v>Programme Countries</v>
      </c>
      <c r="F29" s="20">
        <f>SUMIF('1. Staff costs'!C:C,B29,'1. Staff costs'!S:S)</f>
        <v>0</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23000</v>
      </c>
      <c r="K29" s="20">
        <f>SUMIF(' 2-3-6. Travel&amp;Costs of Stay'!C:C,B29,' 2-3-6. Travel&amp;Costs of Stay'!N:N)</f>
        <v>0</v>
      </c>
      <c r="L29" s="21">
        <f t="shared" si="1"/>
        <v>23000</v>
      </c>
    </row>
    <row r="30" spans="2:12" x14ac:dyDescent="0.35">
      <c r="B30" s="48" t="s">
        <v>11</v>
      </c>
      <c r="C30" s="22" t="s">
        <v>363</v>
      </c>
      <c r="D30" s="18" t="s">
        <v>98</v>
      </c>
      <c r="E30" s="19" t="str">
        <f t="shared" si="0"/>
        <v>Programme Countries</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35">
      <c r="B31" s="48" t="s">
        <v>12</v>
      </c>
      <c r="C31" s="22" t="s">
        <v>364</v>
      </c>
      <c r="D31" s="18" t="s">
        <v>98</v>
      </c>
      <c r="E31" s="19" t="str">
        <f t="shared" si="0"/>
        <v>Programme Countries</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65000</v>
      </c>
      <c r="K31" s="20">
        <f>SUMIF(' 2-3-6. Travel&amp;Costs of Stay'!C:C,B31,' 2-3-6. Travel&amp;Costs of Stay'!N:N)</f>
        <v>0</v>
      </c>
      <c r="L31" s="21">
        <f t="shared" si="1"/>
        <v>65000</v>
      </c>
    </row>
    <row r="32" spans="2:12" x14ac:dyDescent="0.35">
      <c r="B32" s="48" t="s">
        <v>13</v>
      </c>
      <c r="C32" s="22" t="s">
        <v>365</v>
      </c>
      <c r="D32" s="18" t="s">
        <v>98</v>
      </c>
      <c r="E32" s="19" t="str">
        <f t="shared" si="0"/>
        <v>Programme Countries</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35">
      <c r="B33" s="48" t="s">
        <v>14</v>
      </c>
      <c r="C33" s="22" t="s">
        <v>366</v>
      </c>
      <c r="D33" s="18" t="s">
        <v>98</v>
      </c>
      <c r="E33" s="19" t="str">
        <f t="shared" si="0"/>
        <v>Programme Countries</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35">
      <c r="B34" s="48" t="s">
        <v>15</v>
      </c>
      <c r="C34" s="22" t="s">
        <v>367</v>
      </c>
      <c r="D34" s="18" t="s">
        <v>98</v>
      </c>
      <c r="E34" s="19" t="str">
        <f t="shared" si="0"/>
        <v>Programme Countries</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35">
      <c r="B35" s="48" t="s">
        <v>16</v>
      </c>
      <c r="C35" s="22" t="s">
        <v>368</v>
      </c>
      <c r="D35" s="18" t="s">
        <v>53</v>
      </c>
      <c r="E35" s="19" t="str">
        <f t="shared" si="0"/>
        <v>Programme Countries</v>
      </c>
      <c r="F35" s="20">
        <f>SUMIF('1. Staff costs'!C:C,B35,'1. Staff costs'!S:S)</f>
        <v>4772</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4772</v>
      </c>
    </row>
    <row r="36" spans="2:12" x14ac:dyDescent="0.35">
      <c r="B36" s="48" t="s">
        <v>17</v>
      </c>
      <c r="C36" s="22" t="s">
        <v>369</v>
      </c>
      <c r="D36" s="18" t="s">
        <v>44</v>
      </c>
      <c r="E36" s="19" t="str">
        <f t="shared" si="0"/>
        <v>Programme Countries</v>
      </c>
      <c r="F36" s="20">
        <f>SUMIF('1. Staff costs'!C:C,B36,'1. Staff costs'!S:S)</f>
        <v>48198</v>
      </c>
      <c r="G36" s="20">
        <f>SUMIF(' 2-3-6. Travel&amp;Costs of Stay'!C:C,B36,' 2-3-6. Travel&amp;Costs of Stay'!O:O)</f>
        <v>0</v>
      </c>
      <c r="H36" s="20">
        <f>SUMIF(' 2-3-6. Travel&amp;Costs of Stay'!C:C,B36,' 2-3-6. Travel&amp;Costs of Stay'!P:P)</f>
        <v>11200</v>
      </c>
      <c r="I36" s="20">
        <f>SUMIF('4. Equipment Costs'!C:C,B36,'4. Equipment Costs'!H:H)</f>
        <v>0</v>
      </c>
      <c r="J36" s="20">
        <f>SUMIF('5. Subcontracting Costs'!C:C,B36,'5. Subcontracting Costs'!H:H)</f>
        <v>0</v>
      </c>
      <c r="K36" s="20">
        <f>SUMIF(' 2-3-6. Travel&amp;Costs of Stay'!C:C,B36,' 2-3-6. Travel&amp;Costs of Stay'!N:N)</f>
        <v>4000</v>
      </c>
      <c r="L36" s="21">
        <f t="shared" si="1"/>
        <v>63398</v>
      </c>
    </row>
    <row r="37" spans="2:12" x14ac:dyDescent="0.35">
      <c r="B37" s="48" t="s">
        <v>18</v>
      </c>
      <c r="C37" s="22" t="s">
        <v>370</v>
      </c>
      <c r="D37" s="18" t="s">
        <v>38</v>
      </c>
      <c r="E37" s="19" t="str">
        <f t="shared" si="0"/>
        <v>Programme Countries</v>
      </c>
      <c r="F37" s="20">
        <f>SUMIF('1. Staff costs'!C:C,B37,'1. Staff costs'!S:S)</f>
        <v>14456</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14456</v>
      </c>
    </row>
    <row r="38" spans="2:12" x14ac:dyDescent="0.35">
      <c r="B38" s="48" t="s">
        <v>19</v>
      </c>
      <c r="C38" s="22" t="s">
        <v>371</v>
      </c>
      <c r="D38" s="18" t="s">
        <v>6</v>
      </c>
      <c r="E38" s="19" t="str">
        <f t="shared" si="0"/>
        <v>Programme Countries</v>
      </c>
      <c r="F38" s="20">
        <f>SUMIF('1. Staff costs'!C:C,B38,'1. Staff costs'!S:S)</f>
        <v>25758</v>
      </c>
      <c r="G38" s="20">
        <f>SUMIF(' 2-3-6. Travel&amp;Costs of Stay'!C:C,B38,' 2-3-6. Travel&amp;Costs of Stay'!O:O)</f>
        <v>0</v>
      </c>
      <c r="H38" s="20">
        <f>SUMIF(' 2-3-6. Travel&amp;Costs of Stay'!C:C,B38,' 2-3-6. Travel&amp;Costs of Stay'!P:P)</f>
        <v>11200</v>
      </c>
      <c r="I38" s="20">
        <f>SUMIF('4. Equipment Costs'!C:C,B38,'4. Equipment Costs'!H:H)</f>
        <v>0</v>
      </c>
      <c r="J38" s="20">
        <f>SUMIF('5. Subcontracting Costs'!C:C,B38,'5. Subcontracting Costs'!H:H)</f>
        <v>0</v>
      </c>
      <c r="K38" s="20">
        <f>SUMIF(' 2-3-6. Travel&amp;Costs of Stay'!C:C,B38,' 2-3-6. Travel&amp;Costs of Stay'!N:N)</f>
        <v>4000</v>
      </c>
      <c r="L38" s="21">
        <f t="shared" si="1"/>
        <v>40958</v>
      </c>
    </row>
    <row r="39" spans="2:12" x14ac:dyDescent="0.35">
      <c r="B39" s="48" t="s">
        <v>156</v>
      </c>
      <c r="C39" s="22" t="s">
        <v>372</v>
      </c>
      <c r="D39" s="18" t="s">
        <v>46</v>
      </c>
      <c r="E39" s="19" t="str">
        <f t="shared" si="0"/>
        <v>Programme Countries</v>
      </c>
      <c r="F39" s="20">
        <f>SUMIF('1. Staff costs'!C:C,B39,'1. Staff costs'!S:S)</f>
        <v>29672</v>
      </c>
      <c r="G39" s="20">
        <f>SUMIF(' 2-3-6. Travel&amp;Costs of Stay'!C:C,B39,' 2-3-6. Travel&amp;Costs of Stay'!O:O)</f>
        <v>0</v>
      </c>
      <c r="H39" s="20">
        <f>SUMIF(' 2-3-6. Travel&amp;Costs of Stay'!C:C,B39,' 2-3-6. Travel&amp;Costs of Stay'!P:P)</f>
        <v>11200</v>
      </c>
      <c r="I39" s="20">
        <f>SUMIF('4. Equipment Costs'!C:C,B39,'4. Equipment Costs'!H:H)</f>
        <v>0</v>
      </c>
      <c r="J39" s="20">
        <f>SUMIF('5. Subcontracting Costs'!C:C,B39,'5. Subcontracting Costs'!H:H)</f>
        <v>0</v>
      </c>
      <c r="K39" s="20">
        <f>SUMIF(' 2-3-6. Travel&amp;Costs of Stay'!C:C,B39,' 2-3-6. Travel&amp;Costs of Stay'!N:N)</f>
        <v>4000</v>
      </c>
      <c r="L39" s="21">
        <f t="shared" si="1"/>
        <v>44872</v>
      </c>
    </row>
    <row r="40" spans="2:12" x14ac:dyDescent="0.35">
      <c r="B40" s="48" t="s">
        <v>20</v>
      </c>
      <c r="C40" s="22" t="s">
        <v>373</v>
      </c>
      <c r="D40" s="18" t="s">
        <v>36</v>
      </c>
      <c r="E40" s="19" t="str">
        <f t="shared" si="0"/>
        <v>Programme Countries</v>
      </c>
      <c r="F40" s="20">
        <f>SUMIF('1. Staff costs'!C:C,B40,'1. Staff costs'!S:S)</f>
        <v>66094</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66094</v>
      </c>
    </row>
    <row r="41" spans="2:12" x14ac:dyDescent="0.35">
      <c r="B41" s="48" t="s">
        <v>21</v>
      </c>
      <c r="C41" s="22" t="s">
        <v>374</v>
      </c>
      <c r="D41" s="18" t="s">
        <v>36</v>
      </c>
      <c r="E41" s="19" t="str">
        <f t="shared" si="0"/>
        <v>Programme Countries</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t="s">
        <v>375</v>
      </c>
      <c r="D42" s="18" t="s">
        <v>90</v>
      </c>
      <c r="E42" s="19" t="str">
        <f t="shared" si="0"/>
        <v>Partner Countries</v>
      </c>
      <c r="F42" s="20">
        <f>SUMIF('1. Staff costs'!C:C,B42,'1. Staff costs'!S:S)</f>
        <v>28600</v>
      </c>
      <c r="G42" s="20">
        <f>SUMIF(' 2-3-6. Travel&amp;Costs of Stay'!C:C,B42,' 2-3-6. Travel&amp;Costs of Stay'!O:O)</f>
        <v>0</v>
      </c>
      <c r="H42" s="20">
        <f>SUMIF(' 2-3-6. Travel&amp;Costs of Stay'!C:C,B42,' 2-3-6. Travel&amp;Costs of Stay'!P:P)</f>
        <v>0</v>
      </c>
      <c r="I42" s="20">
        <f>SUMIF('4. Equipment Costs'!C:C,B42,'4. Equipment Costs'!H:H)</f>
        <v>233000</v>
      </c>
      <c r="J42" s="20">
        <f>SUMIF('5. Subcontracting Costs'!C:C,B42,'5. Subcontracting Costs'!H:H)</f>
        <v>0</v>
      </c>
      <c r="K42" s="20">
        <f>SUMIF(' 2-3-6. Travel&amp;Costs of Stay'!C:C,B42,' 2-3-6. Travel&amp;Costs of Stay'!N:N)</f>
        <v>0</v>
      </c>
      <c r="L42" s="21">
        <f t="shared" si="1"/>
        <v>261600</v>
      </c>
    </row>
    <row r="43" spans="2:12" x14ac:dyDescent="0.35">
      <c r="B43" s="48" t="s">
        <v>23</v>
      </c>
      <c r="C43" s="22" t="s">
        <v>376</v>
      </c>
      <c r="D43" s="18" t="s">
        <v>64</v>
      </c>
      <c r="E43" s="19" t="str">
        <f t="shared" si="0"/>
        <v>Partner Countries</v>
      </c>
      <c r="F43" s="20">
        <f>SUMIF('1. Staff costs'!C:C,B43,'1. Staff costs'!S:S)</f>
        <v>9130</v>
      </c>
      <c r="G43" s="20">
        <f>SUMIF(' 2-3-6. Travel&amp;Costs of Stay'!C:C,B43,' 2-3-6. Travel&amp;Costs of Stay'!O:O)</f>
        <v>0</v>
      </c>
      <c r="H43" s="20">
        <f>SUMIF(' 2-3-6. Travel&amp;Costs of Stay'!C:C,B43,' 2-3-6. Travel&amp;Costs of Stay'!P:P)</f>
        <v>11200</v>
      </c>
      <c r="I43" s="20">
        <f>SUMIF('4. Equipment Costs'!C:C,B43,'4. Equipment Costs'!H:H)</f>
        <v>51000</v>
      </c>
      <c r="J43" s="20">
        <f>SUMIF('5. Subcontracting Costs'!C:C,B43,'5. Subcontracting Costs'!H:H)</f>
        <v>0</v>
      </c>
      <c r="K43" s="20">
        <f>SUMIF(' 2-3-6. Travel&amp;Costs of Stay'!C:C,B43,' 2-3-6. Travel&amp;Costs of Stay'!N:N)</f>
        <v>4000</v>
      </c>
      <c r="L43" s="21">
        <f t="shared" si="1"/>
        <v>75330</v>
      </c>
    </row>
    <row r="44" spans="2:12" x14ac:dyDescent="0.35">
      <c r="B44" s="48" t="s">
        <v>24</v>
      </c>
      <c r="C44" s="22" t="s">
        <v>377</v>
      </c>
      <c r="D44" s="18" t="s">
        <v>43</v>
      </c>
      <c r="E44" s="19" t="str">
        <f t="shared" si="0"/>
        <v>Programme Countries</v>
      </c>
      <c r="F44" s="20">
        <f>SUMIF('1. Staff costs'!C:C,B44,'1. Staff costs'!S:S)</f>
        <v>5740</v>
      </c>
      <c r="G44" s="20">
        <f>SUMIF(' 2-3-6. Travel&amp;Costs of Stay'!C:C,B44,' 2-3-6. Travel&amp;Costs of Stay'!O:O)</f>
        <v>0</v>
      </c>
      <c r="H44" s="20">
        <f>SUMIF(' 2-3-6. Travel&amp;Costs of Stay'!C:C,B44,' 2-3-6. Travel&amp;Costs of Stay'!P:P)</f>
        <v>11200</v>
      </c>
      <c r="I44" s="20">
        <f>SUMIF('4. Equipment Costs'!C:C,B44,'4. Equipment Costs'!H:H)</f>
        <v>0</v>
      </c>
      <c r="J44" s="20">
        <f>SUMIF('5. Subcontracting Costs'!C:C,B44,'5. Subcontracting Costs'!H:H)</f>
        <v>0</v>
      </c>
      <c r="K44" s="20">
        <f>SUMIF(' 2-3-6. Travel&amp;Costs of Stay'!C:C,B44,' 2-3-6. Travel&amp;Costs of Stay'!N:N)</f>
        <v>4000</v>
      </c>
      <c r="L44" s="21">
        <f t="shared" si="1"/>
        <v>20940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557" priority="18">
      <formula>D17&gt;ROUND(D23*0.4,2)</formula>
    </cfRule>
  </conditionalFormatting>
  <conditionalFormatting sqref="D20">
    <cfRule type="expression" dxfId="556" priority="16">
      <formula>D20&gt;ROUND(D23*0.3,2)</formula>
    </cfRule>
  </conditionalFormatting>
  <conditionalFormatting sqref="D21">
    <cfRule type="expression" dxfId="555" priority="14">
      <formula>D21&gt;ROUND(D23*0.1,2)</formula>
    </cfRule>
  </conditionalFormatting>
  <conditionalFormatting sqref="D23">
    <cfRule type="cellIs" dxfId="554" priority="12" operator="notBetween">
      <formula>500000</formula>
      <formula>1000000</formula>
    </cfRule>
  </conditionalFormatting>
  <conditionalFormatting sqref="E18 I18">
    <cfRule type="cellIs" dxfId="553" priority="2" operator="equal">
      <formula>"Exceptional travel costs exceed 80% of total travel costs"</formula>
    </cfRule>
  </conditionalFormatting>
  <conditionalFormatting sqref="I19">
    <cfRule type="cellIs" dxfId="552"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OK</v>
      </c>
    </row>
    <row r="5" spans="1:2" x14ac:dyDescent="0.3">
      <c r="A5" s="90" t="s">
        <v>186</v>
      </c>
      <c r="B5" s="94" t="str">
        <f>IF(COUNTIF('5. Subcontracting Costs'!I:I,"Error")&lt;=1,"OK","Please check data in Tab '"&amp;A5&amp;"'")</f>
        <v>OK</v>
      </c>
    </row>
    <row r="6" spans="1:2" x14ac:dyDescent="0.3">
      <c r="A6" s="90" t="s">
        <v>337</v>
      </c>
      <c r="B6" s="94" t="str">
        <f>IF(COUNTIF('Co-financing'!J:J,"Error")&lt;=1,"OK","Please check data in Tab '"&amp;A6&amp;"'")</f>
        <v>OK</v>
      </c>
    </row>
    <row r="7" spans="1:2" x14ac:dyDescent="0.3">
      <c r="A7" s="91" t="s">
        <v>336</v>
      </c>
      <c r="B7" s="95" t="str">
        <f>IF(' 2-3-6. Travel&amp;Costs of Stay'!K4="","OK","Please check Exceptional Travel Costs (EUR) in Tab '"&amp;A3&amp;"'")</f>
        <v>OK</v>
      </c>
    </row>
  </sheetData>
  <conditionalFormatting sqref="B2:B7">
    <cfRule type="cellIs" dxfId="550" priority="5" operator="notEqual">
      <formula>"OK"</formula>
    </cfRule>
    <cfRule type="cellIs" dxfId="549"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55"/>
  <sheetViews>
    <sheetView showGridLines="0" zoomScale="70" zoomScaleNormal="70" zoomScaleSheetLayoutView="55" workbookViewId="0">
      <pane ySplit="13" topLeftCell="A26" activePane="bottomLeft" state="frozen"/>
      <selection pane="bottomLeft" activeCell="F30" sqref="F30"/>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96260</v>
      </c>
      <c r="E5" s="28">
        <f>SUMIF(T:T,"&lt;&gt;Error",F:F)</f>
        <v>770</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93944</v>
      </c>
      <c r="E6" s="28">
        <f>SUMIF(T:T,"&lt;&gt;Error",I:I)</f>
        <v>965</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76640</v>
      </c>
      <c r="E7" s="28">
        <f>SUMIF(T:T,"&lt;&gt;Error",L:L)</f>
        <v>968</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30764</v>
      </c>
      <c r="E8" s="28">
        <f>SUMIF(T:T,"&lt;&gt;Error",O:O)</f>
        <v>564</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297608</v>
      </c>
      <c r="E9" s="29">
        <f>SUM(E5:E8)</f>
        <v>3267</v>
      </c>
      <c r="F9" s="135"/>
      <c r="G9" s="136"/>
      <c r="H9" s="136"/>
      <c r="I9" s="136"/>
      <c r="J9" s="136"/>
      <c r="K9" s="136"/>
      <c r="L9" s="136"/>
      <c r="M9" s="136"/>
      <c r="N9" s="136"/>
      <c r="O9" s="136"/>
      <c r="P9" s="136"/>
      <c r="Q9" s="136"/>
      <c r="R9" s="136"/>
      <c r="S9" s="136"/>
      <c r="T9" s="137"/>
    </row>
    <row r="10" spans="2:20" s="24" customFormat="1" ht="8.1" customHeight="1" x14ac:dyDescent="0.3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Udruženje "Sport za sve i rekreacija"</v>
      </c>
      <c r="E14" s="46" t="str">
        <f t="shared" si="1"/>
        <v>Serbia</v>
      </c>
      <c r="F14" s="32">
        <v>7</v>
      </c>
      <c r="G14" s="33">
        <f t="shared" si="2"/>
        <v>88</v>
      </c>
      <c r="H14" s="34">
        <f t="shared" si="3"/>
        <v>616</v>
      </c>
      <c r="I14" s="32">
        <v>14</v>
      </c>
      <c r="J14" s="33">
        <f t="shared" si="4"/>
        <v>74</v>
      </c>
      <c r="K14" s="34">
        <f t="shared" si="5"/>
        <v>1036</v>
      </c>
      <c r="L14" s="32">
        <v>0</v>
      </c>
      <c r="M14" s="33">
        <f t="shared" si="6"/>
        <v>55</v>
      </c>
      <c r="N14" s="34">
        <f t="shared" si="7"/>
        <v>0</v>
      </c>
      <c r="O14" s="32">
        <v>40</v>
      </c>
      <c r="P14" s="33">
        <f t="shared" si="8"/>
        <v>39</v>
      </c>
      <c r="Q14" s="34">
        <f t="shared" si="9"/>
        <v>1560</v>
      </c>
      <c r="R14" s="35">
        <f t="shared" si="10"/>
        <v>61</v>
      </c>
      <c r="S14" s="36">
        <f t="shared" si="11"/>
        <v>3212</v>
      </c>
      <c r="T14" s="37" t="str">
        <f t="shared" si="12"/>
        <v/>
      </c>
    </row>
    <row r="15" spans="2:20" s="38" customFormat="1" x14ac:dyDescent="0.3">
      <c r="B15" s="18" t="s">
        <v>173</v>
      </c>
      <c r="C15" s="23" t="s">
        <v>156</v>
      </c>
      <c r="D15" s="46" t="str">
        <f t="shared" ref="D15:D55" si="13">IFERROR(IF(VLOOKUP(C15,PartnerN°Ref,2,FALSE)=0,"",VLOOKUP(C15,PartnerN°Ref,2,FALSE)),"")</f>
        <v>Dinamo Zagreb sportska akademija</v>
      </c>
      <c r="E15" s="46" t="str">
        <f t="shared" ref="E15:E55" si="14">IFERROR(IF(OR(VLOOKUP(C15,PartnerN°Ref,4,FALSE)="Country not found",VLOOKUP(C15,PartnerN°Ref,3,FALSE)=0),"",VLOOKUP(C15,PartnerN°Ref,3,FALSE)),"")</f>
        <v>Croatia</v>
      </c>
      <c r="F15" s="32">
        <v>0</v>
      </c>
      <c r="G15" s="33">
        <f t="shared" ref="G15:G55" si="15">IF(T15="Error",0,INDEX(Rates,MATCH(E15,CountryALL,0),MATCH($F$11,Category,0)))</f>
        <v>88</v>
      </c>
      <c r="H15" s="34">
        <f t="shared" ref="H15:H55" si="16">IFERROR(IF(T15="Error",0,ROUND(F15*G15,2)),0)</f>
        <v>0</v>
      </c>
      <c r="I15" s="32">
        <v>0</v>
      </c>
      <c r="J15" s="33">
        <f t="shared" ref="J15:J55" si="17">IF(T15="Error",0,INDEX(Rates,MATCH(E15,CountryALL,0),MATCH($I$11,Category,0)))</f>
        <v>74</v>
      </c>
      <c r="K15" s="34">
        <f t="shared" ref="K15:K55" si="18">IFERROR(IF(T15="Error",0,ROUND(I15*J15,2)),0)</f>
        <v>0</v>
      </c>
      <c r="L15" s="32">
        <v>0</v>
      </c>
      <c r="M15" s="33">
        <f t="shared" ref="M15:M55" si="19">IF(T15="Error",0,INDEX(Rates,MATCH(E15,CountryALL,0),MATCH($L$11,Category,0)))</f>
        <v>55</v>
      </c>
      <c r="N15" s="34">
        <f t="shared" ref="N15:N55" si="20">IFERROR(IF(T15="Error",0,ROUND(L15*M15,2)),0)</f>
        <v>0</v>
      </c>
      <c r="O15" s="32">
        <v>22</v>
      </c>
      <c r="P15" s="33">
        <f t="shared" ref="P15:P55" si="21">IF(T15="Error",0,INDEX(Rates,MATCH(E15,CountryALL,0),MATCH($O$11,Category,0)))</f>
        <v>39</v>
      </c>
      <c r="Q15" s="34">
        <f t="shared" ref="Q15:Q55" si="22">IFERROR(IF(T15="Error",0,ROUND(O15*P15,2)),0)</f>
        <v>858</v>
      </c>
      <c r="R15" s="35">
        <f t="shared" ref="R15:R55" si="23">IF(T15="Error",0,F15+I15+L15+O15)</f>
        <v>22</v>
      </c>
      <c r="S15" s="36">
        <f t="shared" ref="S15:S55" si="24">IF(T15="Error",0,H15+K15+N15+Q15)</f>
        <v>858</v>
      </c>
      <c r="T15" s="37" t="str">
        <f t="shared" ref="T15:T5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173</v>
      </c>
      <c r="C16" s="23" t="s">
        <v>18</v>
      </c>
      <c r="D16" s="46" t="str">
        <f t="shared" si="13"/>
        <v>Federazione Italiana Sport per Tutti</v>
      </c>
      <c r="E16" s="46" t="str">
        <f t="shared" si="14"/>
        <v>Italy</v>
      </c>
      <c r="F16" s="32">
        <v>0</v>
      </c>
      <c r="G16" s="33">
        <f t="shared" si="15"/>
        <v>280</v>
      </c>
      <c r="H16" s="34">
        <f t="shared" si="16"/>
        <v>0</v>
      </c>
      <c r="I16" s="32">
        <v>0</v>
      </c>
      <c r="J16" s="33">
        <f t="shared" si="17"/>
        <v>214</v>
      </c>
      <c r="K16" s="34">
        <f t="shared" si="18"/>
        <v>0</v>
      </c>
      <c r="L16" s="32">
        <v>0</v>
      </c>
      <c r="M16" s="33">
        <f t="shared" si="19"/>
        <v>162</v>
      </c>
      <c r="N16" s="34">
        <f t="shared" si="20"/>
        <v>0</v>
      </c>
      <c r="O16" s="32">
        <v>22</v>
      </c>
      <c r="P16" s="33">
        <f t="shared" si="21"/>
        <v>131</v>
      </c>
      <c r="Q16" s="34">
        <f t="shared" si="22"/>
        <v>2882</v>
      </c>
      <c r="R16" s="35">
        <f t="shared" si="23"/>
        <v>22</v>
      </c>
      <c r="S16" s="36">
        <f t="shared" si="24"/>
        <v>2882</v>
      </c>
      <c r="T16" s="37" t="str">
        <f t="shared" si="25"/>
        <v/>
      </c>
    </row>
    <row r="17" spans="2:20" s="38" customFormat="1" x14ac:dyDescent="0.3">
      <c r="B17" s="18" t="s">
        <v>173</v>
      </c>
      <c r="C17" s="23" t="s">
        <v>17</v>
      </c>
      <c r="D17" s="46" t="str">
        <f t="shared" si="13"/>
        <v>Nacionalni športni centar Planica</v>
      </c>
      <c r="E17" s="46" t="str">
        <f t="shared" si="14"/>
        <v>Slovenia</v>
      </c>
      <c r="F17" s="32">
        <v>0</v>
      </c>
      <c r="G17" s="33">
        <f t="shared" si="15"/>
        <v>164</v>
      </c>
      <c r="H17" s="34">
        <f t="shared" si="16"/>
        <v>0</v>
      </c>
      <c r="I17" s="32">
        <v>0</v>
      </c>
      <c r="J17" s="33">
        <f t="shared" si="17"/>
        <v>137</v>
      </c>
      <c r="K17" s="34">
        <f t="shared" si="18"/>
        <v>0</v>
      </c>
      <c r="L17" s="32">
        <v>0</v>
      </c>
      <c r="M17" s="33">
        <f t="shared" si="19"/>
        <v>102</v>
      </c>
      <c r="N17" s="34">
        <f t="shared" si="20"/>
        <v>0</v>
      </c>
      <c r="O17" s="32">
        <v>22</v>
      </c>
      <c r="P17" s="33">
        <f t="shared" si="21"/>
        <v>78</v>
      </c>
      <c r="Q17" s="34">
        <f t="shared" si="22"/>
        <v>1716</v>
      </c>
      <c r="R17" s="35">
        <f t="shared" si="23"/>
        <v>22</v>
      </c>
      <c r="S17" s="36">
        <f t="shared" si="24"/>
        <v>1716</v>
      </c>
      <c r="T17" s="37" t="str">
        <f t="shared" si="25"/>
        <v/>
      </c>
    </row>
    <row r="18" spans="2:20" s="38" customFormat="1" x14ac:dyDescent="0.3">
      <c r="B18" s="18" t="s">
        <v>173</v>
      </c>
      <c r="C18" s="23" t="s">
        <v>16</v>
      </c>
      <c r="D18" s="46" t="str">
        <f t="shared" si="13"/>
        <v>Turkiye Milli Olimpiyat Komitesi</v>
      </c>
      <c r="E18" s="46" t="str">
        <f t="shared" si="14"/>
        <v>Turkey</v>
      </c>
      <c r="F18" s="32">
        <v>0</v>
      </c>
      <c r="G18" s="33">
        <f t="shared" si="15"/>
        <v>88</v>
      </c>
      <c r="H18" s="34">
        <f t="shared" si="16"/>
        <v>0</v>
      </c>
      <c r="I18" s="32">
        <v>0</v>
      </c>
      <c r="J18" s="33">
        <f t="shared" si="17"/>
        <v>74</v>
      </c>
      <c r="K18" s="34">
        <f t="shared" si="18"/>
        <v>0</v>
      </c>
      <c r="L18" s="32">
        <v>0</v>
      </c>
      <c r="M18" s="33">
        <f t="shared" si="19"/>
        <v>55</v>
      </c>
      <c r="N18" s="34">
        <f t="shared" si="20"/>
        <v>0</v>
      </c>
      <c r="O18" s="32">
        <v>22</v>
      </c>
      <c r="P18" s="33">
        <f t="shared" si="21"/>
        <v>39</v>
      </c>
      <c r="Q18" s="34">
        <f t="shared" si="22"/>
        <v>858</v>
      </c>
      <c r="R18" s="35">
        <f t="shared" si="23"/>
        <v>22</v>
      </c>
      <c r="S18" s="36">
        <f t="shared" si="24"/>
        <v>858</v>
      </c>
      <c r="T18" s="37" t="str">
        <f t="shared" si="25"/>
        <v/>
      </c>
    </row>
    <row r="19" spans="2:20" s="38" customFormat="1" x14ac:dyDescent="0.3">
      <c r="B19" s="18" t="s">
        <v>173</v>
      </c>
      <c r="C19" s="23" t="s">
        <v>19</v>
      </c>
      <c r="D19" s="46" t="str">
        <f t="shared" si="13"/>
        <v>National Sports Academy "Vassil Levski"</v>
      </c>
      <c r="E19" s="46" t="str">
        <f t="shared" si="14"/>
        <v>Bulgaria</v>
      </c>
      <c r="F19" s="32">
        <v>0</v>
      </c>
      <c r="G19" s="33">
        <f t="shared" si="15"/>
        <v>88</v>
      </c>
      <c r="H19" s="34">
        <f t="shared" si="16"/>
        <v>0</v>
      </c>
      <c r="I19" s="32">
        <v>0</v>
      </c>
      <c r="J19" s="33">
        <f t="shared" si="17"/>
        <v>74</v>
      </c>
      <c r="K19" s="34">
        <f t="shared" si="18"/>
        <v>0</v>
      </c>
      <c r="L19" s="32">
        <v>0</v>
      </c>
      <c r="M19" s="33">
        <f t="shared" si="19"/>
        <v>55</v>
      </c>
      <c r="N19" s="34">
        <f t="shared" si="20"/>
        <v>0</v>
      </c>
      <c r="O19" s="32">
        <v>22</v>
      </c>
      <c r="P19" s="33">
        <f t="shared" si="21"/>
        <v>39</v>
      </c>
      <c r="Q19" s="34">
        <f t="shared" si="22"/>
        <v>858</v>
      </c>
      <c r="R19" s="35">
        <f t="shared" si="23"/>
        <v>22</v>
      </c>
      <c r="S19" s="36">
        <f t="shared" si="24"/>
        <v>858</v>
      </c>
      <c r="T19" s="37" t="str">
        <f t="shared" si="25"/>
        <v/>
      </c>
    </row>
    <row r="20" spans="2:20" s="38" customFormat="1" x14ac:dyDescent="0.3">
      <c r="B20" s="18" t="s">
        <v>173</v>
      </c>
      <c r="C20" s="23" t="s">
        <v>23</v>
      </c>
      <c r="D20" s="46" t="str">
        <f t="shared" si="13"/>
        <v>Sportski savez KS</v>
      </c>
      <c r="E20" s="46" t="str">
        <f t="shared" si="14"/>
        <v>Bosnia and Herzegovina</v>
      </c>
      <c r="F20" s="32">
        <v>0</v>
      </c>
      <c r="G20" s="33">
        <f t="shared" si="15"/>
        <v>108</v>
      </c>
      <c r="H20" s="34">
        <f t="shared" si="16"/>
        <v>0</v>
      </c>
      <c r="I20" s="32">
        <v>0</v>
      </c>
      <c r="J20" s="33">
        <f t="shared" si="17"/>
        <v>80</v>
      </c>
      <c r="K20" s="34">
        <f t="shared" si="18"/>
        <v>0</v>
      </c>
      <c r="L20" s="32">
        <v>0</v>
      </c>
      <c r="M20" s="33">
        <f t="shared" si="19"/>
        <v>57</v>
      </c>
      <c r="N20" s="34">
        <f t="shared" si="20"/>
        <v>0</v>
      </c>
      <c r="O20" s="32">
        <v>22</v>
      </c>
      <c r="P20" s="33">
        <f t="shared" si="21"/>
        <v>45</v>
      </c>
      <c r="Q20" s="34">
        <f t="shared" si="22"/>
        <v>990</v>
      </c>
      <c r="R20" s="35">
        <f t="shared" si="23"/>
        <v>22</v>
      </c>
      <c r="S20" s="36">
        <f t="shared" si="24"/>
        <v>990</v>
      </c>
      <c r="T20" s="37" t="str">
        <f t="shared" si="25"/>
        <v/>
      </c>
    </row>
    <row r="21" spans="2:20" s="38" customFormat="1" x14ac:dyDescent="0.3">
      <c r="B21" s="18" t="s">
        <v>172</v>
      </c>
      <c r="C21" s="23" t="s">
        <v>9</v>
      </c>
      <c r="D21" s="46" t="str">
        <f t="shared" si="13"/>
        <v>SheTech team, DUNP</v>
      </c>
      <c r="E21" s="46" t="str">
        <f t="shared" si="14"/>
        <v>Serbia</v>
      </c>
      <c r="F21" s="32">
        <v>40</v>
      </c>
      <c r="G21" s="33">
        <f t="shared" si="15"/>
        <v>88</v>
      </c>
      <c r="H21" s="34">
        <f t="shared" si="16"/>
        <v>3520</v>
      </c>
      <c r="I21" s="32">
        <v>0</v>
      </c>
      <c r="J21" s="33">
        <f t="shared" si="17"/>
        <v>74</v>
      </c>
      <c r="K21" s="34">
        <f t="shared" si="18"/>
        <v>0</v>
      </c>
      <c r="L21" s="32">
        <v>30</v>
      </c>
      <c r="M21" s="33">
        <f t="shared" si="19"/>
        <v>55</v>
      </c>
      <c r="N21" s="34">
        <f t="shared" si="20"/>
        <v>1650</v>
      </c>
      <c r="O21" s="32">
        <v>30</v>
      </c>
      <c r="P21" s="33">
        <f t="shared" si="21"/>
        <v>39</v>
      </c>
      <c r="Q21" s="34">
        <f t="shared" si="22"/>
        <v>1170</v>
      </c>
      <c r="R21" s="35">
        <f t="shared" si="23"/>
        <v>100</v>
      </c>
      <c r="S21" s="36">
        <f t="shared" si="24"/>
        <v>6340</v>
      </c>
      <c r="T21" s="37" t="str">
        <f t="shared" si="25"/>
        <v/>
      </c>
    </row>
    <row r="22" spans="2:20" s="38" customFormat="1" x14ac:dyDescent="0.3">
      <c r="B22" s="18" t="s">
        <v>172</v>
      </c>
      <c r="C22" s="23" t="s">
        <v>17</v>
      </c>
      <c r="D22" s="46" t="str">
        <f t="shared" si="13"/>
        <v>Nacionalni športni centar Planica</v>
      </c>
      <c r="E22" s="46" t="str">
        <f t="shared" si="14"/>
        <v>Slovenia</v>
      </c>
      <c r="F22" s="32">
        <v>53</v>
      </c>
      <c r="G22" s="33">
        <f t="shared" si="15"/>
        <v>164</v>
      </c>
      <c r="H22" s="34">
        <f t="shared" si="16"/>
        <v>8692</v>
      </c>
      <c r="I22" s="32">
        <v>30</v>
      </c>
      <c r="J22" s="33">
        <f t="shared" si="17"/>
        <v>137</v>
      </c>
      <c r="K22" s="34">
        <f t="shared" si="18"/>
        <v>4110</v>
      </c>
      <c r="L22" s="32">
        <v>80</v>
      </c>
      <c r="M22" s="33">
        <f t="shared" si="19"/>
        <v>102</v>
      </c>
      <c r="N22" s="34">
        <f t="shared" si="20"/>
        <v>8160</v>
      </c>
      <c r="O22" s="32">
        <v>0</v>
      </c>
      <c r="P22" s="33">
        <f t="shared" si="21"/>
        <v>78</v>
      </c>
      <c r="Q22" s="34">
        <f t="shared" si="22"/>
        <v>0</v>
      </c>
      <c r="R22" s="35">
        <f t="shared" si="23"/>
        <v>163</v>
      </c>
      <c r="S22" s="36">
        <f t="shared" si="24"/>
        <v>20962</v>
      </c>
      <c r="T22" s="37" t="str">
        <f t="shared" si="25"/>
        <v/>
      </c>
    </row>
    <row r="23" spans="2:20" s="38" customFormat="1" x14ac:dyDescent="0.3">
      <c r="B23" s="18" t="s">
        <v>172</v>
      </c>
      <c r="C23" s="23" t="s">
        <v>156</v>
      </c>
      <c r="D23" s="46" t="str">
        <f t="shared" si="13"/>
        <v>Dinamo Zagreb sportska akademija</v>
      </c>
      <c r="E23" s="46" t="str">
        <f t="shared" si="14"/>
        <v>Croatia</v>
      </c>
      <c r="F23" s="32">
        <v>53</v>
      </c>
      <c r="G23" s="33">
        <f t="shared" si="15"/>
        <v>88</v>
      </c>
      <c r="H23" s="34">
        <f t="shared" si="16"/>
        <v>4664</v>
      </c>
      <c r="I23" s="32">
        <v>30</v>
      </c>
      <c r="J23" s="33">
        <f t="shared" si="17"/>
        <v>74</v>
      </c>
      <c r="K23" s="34">
        <f t="shared" si="18"/>
        <v>2220</v>
      </c>
      <c r="L23" s="32">
        <v>80</v>
      </c>
      <c r="M23" s="33">
        <f t="shared" si="19"/>
        <v>55</v>
      </c>
      <c r="N23" s="34">
        <f t="shared" si="20"/>
        <v>4400</v>
      </c>
      <c r="O23" s="32">
        <v>0</v>
      </c>
      <c r="P23" s="33">
        <f t="shared" si="21"/>
        <v>39</v>
      </c>
      <c r="Q23" s="34">
        <f t="shared" si="22"/>
        <v>0</v>
      </c>
      <c r="R23" s="35">
        <f t="shared" si="23"/>
        <v>163</v>
      </c>
      <c r="S23" s="36">
        <f t="shared" si="24"/>
        <v>11284</v>
      </c>
      <c r="T23" s="37" t="str">
        <f t="shared" si="25"/>
        <v/>
      </c>
    </row>
    <row r="24" spans="2:20" s="38" customFormat="1" x14ac:dyDescent="0.3">
      <c r="B24" s="18" t="s">
        <v>172</v>
      </c>
      <c r="C24" s="23" t="s">
        <v>22</v>
      </c>
      <c r="D24" s="46" t="str">
        <f t="shared" si="13"/>
        <v>Sportsko drustvo "Mornar"</v>
      </c>
      <c r="E24" s="46" t="str">
        <f t="shared" si="14"/>
        <v>Montenegro</v>
      </c>
      <c r="F24" s="32">
        <v>53</v>
      </c>
      <c r="G24" s="33">
        <f t="shared" si="15"/>
        <v>108</v>
      </c>
      <c r="H24" s="34">
        <f t="shared" si="16"/>
        <v>5724</v>
      </c>
      <c r="I24" s="32">
        <v>30</v>
      </c>
      <c r="J24" s="33">
        <f t="shared" si="17"/>
        <v>80</v>
      </c>
      <c r="K24" s="34">
        <f t="shared" si="18"/>
        <v>2400</v>
      </c>
      <c r="L24" s="32">
        <v>80</v>
      </c>
      <c r="M24" s="33">
        <f t="shared" si="19"/>
        <v>57</v>
      </c>
      <c r="N24" s="34">
        <f t="shared" si="20"/>
        <v>4560</v>
      </c>
      <c r="O24" s="32">
        <v>0</v>
      </c>
      <c r="P24" s="33">
        <f t="shared" si="21"/>
        <v>45</v>
      </c>
      <c r="Q24" s="34">
        <f t="shared" si="22"/>
        <v>0</v>
      </c>
      <c r="R24" s="35">
        <f t="shared" si="23"/>
        <v>163</v>
      </c>
      <c r="S24" s="36">
        <f t="shared" si="24"/>
        <v>12684</v>
      </c>
      <c r="T24" s="37" t="str">
        <f t="shared" si="25"/>
        <v/>
      </c>
    </row>
    <row r="25" spans="2:20" s="38" customFormat="1" x14ac:dyDescent="0.3">
      <c r="B25" s="18" t="s">
        <v>172</v>
      </c>
      <c r="C25" s="23" t="s">
        <v>20</v>
      </c>
      <c r="D25" s="46" t="str">
        <f t="shared" si="13"/>
        <v>TAFISA</v>
      </c>
      <c r="E25" s="46" t="str">
        <f t="shared" si="14"/>
        <v>Germany</v>
      </c>
      <c r="F25" s="32">
        <v>53</v>
      </c>
      <c r="G25" s="33">
        <f t="shared" si="15"/>
        <v>280</v>
      </c>
      <c r="H25" s="34">
        <f t="shared" si="16"/>
        <v>14840</v>
      </c>
      <c r="I25" s="32">
        <v>30</v>
      </c>
      <c r="J25" s="33">
        <f t="shared" si="17"/>
        <v>214</v>
      </c>
      <c r="K25" s="34">
        <f t="shared" si="18"/>
        <v>6420</v>
      </c>
      <c r="L25" s="32">
        <v>80</v>
      </c>
      <c r="M25" s="33">
        <f t="shared" si="19"/>
        <v>162</v>
      </c>
      <c r="N25" s="34">
        <f t="shared" si="20"/>
        <v>12960</v>
      </c>
      <c r="O25" s="32">
        <v>0</v>
      </c>
      <c r="P25" s="33">
        <f t="shared" si="21"/>
        <v>131</v>
      </c>
      <c r="Q25" s="34">
        <f t="shared" si="22"/>
        <v>0</v>
      </c>
      <c r="R25" s="35">
        <f t="shared" si="23"/>
        <v>163</v>
      </c>
      <c r="S25" s="36">
        <f t="shared" si="24"/>
        <v>34220</v>
      </c>
      <c r="T25" s="37" t="str">
        <f t="shared" si="25"/>
        <v/>
      </c>
    </row>
    <row r="26" spans="2:20" s="38" customFormat="1" x14ac:dyDescent="0.3">
      <c r="B26" s="18" t="s">
        <v>172</v>
      </c>
      <c r="C26" s="23" t="s">
        <v>19</v>
      </c>
      <c r="D26" s="46" t="str">
        <f t="shared" si="13"/>
        <v>National Sports Academy "Vassil Levski"</v>
      </c>
      <c r="E26" s="46" t="str">
        <f t="shared" si="14"/>
        <v>Bulgaria</v>
      </c>
      <c r="F26" s="32">
        <v>53</v>
      </c>
      <c r="G26" s="33">
        <f t="shared" si="15"/>
        <v>88</v>
      </c>
      <c r="H26" s="34">
        <f t="shared" si="16"/>
        <v>4664</v>
      </c>
      <c r="I26" s="32">
        <v>30</v>
      </c>
      <c r="J26" s="33">
        <f t="shared" si="17"/>
        <v>74</v>
      </c>
      <c r="K26" s="34">
        <f t="shared" si="18"/>
        <v>2220</v>
      </c>
      <c r="L26" s="32">
        <v>80</v>
      </c>
      <c r="M26" s="33">
        <f t="shared" si="19"/>
        <v>55</v>
      </c>
      <c r="N26" s="34">
        <f t="shared" si="20"/>
        <v>4400</v>
      </c>
      <c r="O26" s="32">
        <v>0</v>
      </c>
      <c r="P26" s="33">
        <f t="shared" si="21"/>
        <v>39</v>
      </c>
      <c r="Q26" s="34">
        <f t="shared" si="22"/>
        <v>0</v>
      </c>
      <c r="R26" s="35">
        <f t="shared" si="23"/>
        <v>163</v>
      </c>
      <c r="S26" s="36">
        <f t="shared" si="24"/>
        <v>11284</v>
      </c>
      <c r="T26" s="37" t="str">
        <f t="shared" si="25"/>
        <v/>
      </c>
    </row>
    <row r="27" spans="2:20" s="38" customFormat="1" x14ac:dyDescent="0.3">
      <c r="B27" s="18" t="s">
        <v>172</v>
      </c>
      <c r="C27" s="23" t="s">
        <v>17</v>
      </c>
      <c r="D27" s="46" t="str">
        <f t="shared" si="13"/>
        <v>Nacionalni športni centar Planica</v>
      </c>
      <c r="E27" s="46" t="str">
        <f t="shared" si="14"/>
        <v>Slovenia</v>
      </c>
      <c r="F27" s="32">
        <v>17</v>
      </c>
      <c r="G27" s="33">
        <f t="shared" si="15"/>
        <v>164</v>
      </c>
      <c r="H27" s="34">
        <f t="shared" si="16"/>
        <v>2788</v>
      </c>
      <c r="I27" s="32">
        <v>48</v>
      </c>
      <c r="J27" s="33">
        <f t="shared" si="17"/>
        <v>137</v>
      </c>
      <c r="K27" s="34">
        <f t="shared" si="18"/>
        <v>6576</v>
      </c>
      <c r="L27" s="32">
        <v>70</v>
      </c>
      <c r="M27" s="33">
        <f t="shared" si="19"/>
        <v>102</v>
      </c>
      <c r="N27" s="34">
        <f t="shared" si="20"/>
        <v>7140</v>
      </c>
      <c r="O27" s="32">
        <v>42</v>
      </c>
      <c r="P27" s="33">
        <f t="shared" si="21"/>
        <v>78</v>
      </c>
      <c r="Q27" s="34">
        <f t="shared" si="22"/>
        <v>3276</v>
      </c>
      <c r="R27" s="35">
        <f t="shared" si="23"/>
        <v>177</v>
      </c>
      <c r="S27" s="36">
        <f t="shared" si="24"/>
        <v>19780</v>
      </c>
      <c r="T27" s="37" t="str">
        <f t="shared" si="25"/>
        <v/>
      </c>
    </row>
    <row r="28" spans="2:20" s="38" customFormat="1" x14ac:dyDescent="0.3">
      <c r="B28" s="18" t="s">
        <v>172</v>
      </c>
      <c r="C28" s="23" t="s">
        <v>156</v>
      </c>
      <c r="D28" s="46" t="str">
        <f t="shared" si="13"/>
        <v>Dinamo Zagreb sportska akademija</v>
      </c>
      <c r="E28" s="46" t="str">
        <f t="shared" si="14"/>
        <v>Croatia</v>
      </c>
      <c r="F28" s="32">
        <v>17</v>
      </c>
      <c r="G28" s="33">
        <f t="shared" si="15"/>
        <v>88</v>
      </c>
      <c r="H28" s="34">
        <f t="shared" si="16"/>
        <v>1496</v>
      </c>
      <c r="I28" s="32">
        <v>48</v>
      </c>
      <c r="J28" s="33">
        <f t="shared" si="17"/>
        <v>74</v>
      </c>
      <c r="K28" s="34">
        <f t="shared" si="18"/>
        <v>3552</v>
      </c>
      <c r="L28" s="32">
        <v>70</v>
      </c>
      <c r="M28" s="33">
        <f t="shared" si="19"/>
        <v>55</v>
      </c>
      <c r="N28" s="34">
        <f t="shared" si="20"/>
        <v>3850</v>
      </c>
      <c r="O28" s="32">
        <v>42</v>
      </c>
      <c r="P28" s="33">
        <f t="shared" si="21"/>
        <v>39</v>
      </c>
      <c r="Q28" s="34">
        <f t="shared" si="22"/>
        <v>1638</v>
      </c>
      <c r="R28" s="35">
        <f t="shared" si="23"/>
        <v>177</v>
      </c>
      <c r="S28" s="36">
        <f t="shared" si="24"/>
        <v>10536</v>
      </c>
      <c r="T28" s="37" t="str">
        <f t="shared" si="25"/>
        <v/>
      </c>
    </row>
    <row r="29" spans="2:20" s="38" customFormat="1" x14ac:dyDescent="0.3">
      <c r="B29" s="18" t="s">
        <v>172</v>
      </c>
      <c r="C29" s="23" t="s">
        <v>22</v>
      </c>
      <c r="D29" s="46" t="str">
        <f t="shared" si="13"/>
        <v>Sportsko drustvo "Mornar"</v>
      </c>
      <c r="E29" s="46" t="str">
        <f t="shared" si="14"/>
        <v>Montenegro</v>
      </c>
      <c r="F29" s="32">
        <v>17</v>
      </c>
      <c r="G29" s="33">
        <f t="shared" si="15"/>
        <v>108</v>
      </c>
      <c r="H29" s="34">
        <f t="shared" si="16"/>
        <v>1836</v>
      </c>
      <c r="I29" s="32">
        <v>48</v>
      </c>
      <c r="J29" s="33">
        <f t="shared" si="17"/>
        <v>80</v>
      </c>
      <c r="K29" s="34">
        <f t="shared" si="18"/>
        <v>3840</v>
      </c>
      <c r="L29" s="32">
        <v>70</v>
      </c>
      <c r="M29" s="33">
        <f t="shared" si="19"/>
        <v>57</v>
      </c>
      <c r="N29" s="34">
        <f t="shared" si="20"/>
        <v>3990</v>
      </c>
      <c r="O29" s="32">
        <v>42</v>
      </c>
      <c r="P29" s="33">
        <f t="shared" si="21"/>
        <v>45</v>
      </c>
      <c r="Q29" s="34">
        <f t="shared" si="22"/>
        <v>1890</v>
      </c>
      <c r="R29" s="35">
        <f t="shared" si="23"/>
        <v>177</v>
      </c>
      <c r="S29" s="36">
        <f t="shared" si="24"/>
        <v>11556</v>
      </c>
      <c r="T29" s="37" t="str">
        <f t="shared" si="25"/>
        <v/>
      </c>
    </row>
    <row r="30" spans="2:20" s="38" customFormat="1" x14ac:dyDescent="0.3">
      <c r="B30" s="18" t="s">
        <v>172</v>
      </c>
      <c r="C30" s="23" t="s">
        <v>20</v>
      </c>
      <c r="D30" s="46" t="str">
        <f t="shared" si="13"/>
        <v>TAFISA</v>
      </c>
      <c r="E30" s="46" t="str">
        <f t="shared" si="14"/>
        <v>Germany</v>
      </c>
      <c r="F30" s="32">
        <v>17</v>
      </c>
      <c r="G30" s="33">
        <f t="shared" si="15"/>
        <v>280</v>
      </c>
      <c r="H30" s="34">
        <f t="shared" si="16"/>
        <v>4760</v>
      </c>
      <c r="I30" s="32">
        <v>48</v>
      </c>
      <c r="J30" s="33">
        <f t="shared" si="17"/>
        <v>214</v>
      </c>
      <c r="K30" s="34">
        <f t="shared" si="18"/>
        <v>10272</v>
      </c>
      <c r="L30" s="32">
        <v>70</v>
      </c>
      <c r="M30" s="33">
        <f t="shared" si="19"/>
        <v>162</v>
      </c>
      <c r="N30" s="34">
        <f t="shared" si="20"/>
        <v>11340</v>
      </c>
      <c r="O30" s="32">
        <v>42</v>
      </c>
      <c r="P30" s="33">
        <f t="shared" si="21"/>
        <v>131</v>
      </c>
      <c r="Q30" s="34">
        <f t="shared" si="22"/>
        <v>5502</v>
      </c>
      <c r="R30" s="35">
        <f t="shared" si="23"/>
        <v>177</v>
      </c>
      <c r="S30" s="36">
        <f t="shared" si="24"/>
        <v>31874</v>
      </c>
      <c r="T30" s="37" t="str">
        <f t="shared" si="25"/>
        <v/>
      </c>
    </row>
    <row r="31" spans="2:20" s="38" customFormat="1" x14ac:dyDescent="0.3">
      <c r="B31" s="18" t="s">
        <v>172</v>
      </c>
      <c r="C31" s="23" t="s">
        <v>19</v>
      </c>
      <c r="D31" s="46" t="str">
        <f t="shared" si="13"/>
        <v>National Sports Academy "Vassil Levski"</v>
      </c>
      <c r="E31" s="46" t="str">
        <f t="shared" si="14"/>
        <v>Bulgaria</v>
      </c>
      <c r="F31" s="32">
        <v>17</v>
      </c>
      <c r="G31" s="33">
        <f t="shared" si="15"/>
        <v>88</v>
      </c>
      <c r="H31" s="34">
        <f t="shared" si="16"/>
        <v>1496</v>
      </c>
      <c r="I31" s="32">
        <v>48</v>
      </c>
      <c r="J31" s="33">
        <f t="shared" si="17"/>
        <v>74</v>
      </c>
      <c r="K31" s="34">
        <f t="shared" si="18"/>
        <v>3552</v>
      </c>
      <c r="L31" s="32">
        <v>70</v>
      </c>
      <c r="M31" s="33">
        <f t="shared" si="19"/>
        <v>55</v>
      </c>
      <c r="N31" s="34">
        <f t="shared" si="20"/>
        <v>3850</v>
      </c>
      <c r="O31" s="32">
        <v>42</v>
      </c>
      <c r="P31" s="33">
        <f t="shared" si="21"/>
        <v>39</v>
      </c>
      <c r="Q31" s="34">
        <f t="shared" si="22"/>
        <v>1638</v>
      </c>
      <c r="R31" s="35">
        <f t="shared" si="23"/>
        <v>177</v>
      </c>
      <c r="S31" s="36">
        <f t="shared" si="24"/>
        <v>10536</v>
      </c>
      <c r="T31" s="37" t="str">
        <f t="shared" si="25"/>
        <v/>
      </c>
    </row>
    <row r="32" spans="2:20" s="38" customFormat="1" x14ac:dyDescent="0.3">
      <c r="B32" s="18" t="s">
        <v>172</v>
      </c>
      <c r="C32" s="23" t="s">
        <v>23</v>
      </c>
      <c r="D32" s="46" t="str">
        <f t="shared" si="13"/>
        <v>Sportski savez KS</v>
      </c>
      <c r="E32" s="46" t="str">
        <f t="shared" si="14"/>
        <v>Bosnia and Herzegovina</v>
      </c>
      <c r="F32" s="32">
        <v>10</v>
      </c>
      <c r="G32" s="33">
        <f t="shared" si="15"/>
        <v>108</v>
      </c>
      <c r="H32" s="34">
        <f t="shared" si="16"/>
        <v>1080</v>
      </c>
      <c r="I32" s="32">
        <v>41</v>
      </c>
      <c r="J32" s="33">
        <f t="shared" si="17"/>
        <v>80</v>
      </c>
      <c r="K32" s="34">
        <f t="shared" si="18"/>
        <v>3280</v>
      </c>
      <c r="L32" s="32">
        <v>0</v>
      </c>
      <c r="M32" s="33">
        <f t="shared" si="19"/>
        <v>57</v>
      </c>
      <c r="N32" s="34">
        <f t="shared" si="20"/>
        <v>0</v>
      </c>
      <c r="O32" s="32">
        <v>0</v>
      </c>
      <c r="P32" s="33">
        <f t="shared" si="21"/>
        <v>45</v>
      </c>
      <c r="Q32" s="34">
        <f t="shared" si="22"/>
        <v>0</v>
      </c>
      <c r="R32" s="35">
        <f t="shared" si="23"/>
        <v>51</v>
      </c>
      <c r="S32" s="36">
        <f t="shared" si="24"/>
        <v>4360</v>
      </c>
      <c r="T32" s="37" t="str">
        <f t="shared" si="25"/>
        <v/>
      </c>
    </row>
    <row r="33" spans="2:20" s="38" customFormat="1" x14ac:dyDescent="0.3">
      <c r="B33" s="18" t="s">
        <v>172</v>
      </c>
      <c r="C33" s="23" t="s">
        <v>22</v>
      </c>
      <c r="D33" s="46" t="str">
        <f t="shared" si="13"/>
        <v>Sportsko drustvo "Mornar"</v>
      </c>
      <c r="E33" s="46" t="str">
        <f t="shared" si="14"/>
        <v>Montenegro</v>
      </c>
      <c r="F33" s="32">
        <v>10</v>
      </c>
      <c r="G33" s="33">
        <f t="shared" si="15"/>
        <v>108</v>
      </c>
      <c r="H33" s="34">
        <f t="shared" si="16"/>
        <v>1080</v>
      </c>
      <c r="I33" s="32">
        <v>41</v>
      </c>
      <c r="J33" s="33">
        <f t="shared" si="17"/>
        <v>80</v>
      </c>
      <c r="K33" s="34">
        <f t="shared" si="18"/>
        <v>3280</v>
      </c>
      <c r="L33" s="32">
        <v>0</v>
      </c>
      <c r="M33" s="33">
        <f t="shared" si="19"/>
        <v>57</v>
      </c>
      <c r="N33" s="34">
        <f t="shared" si="20"/>
        <v>0</v>
      </c>
      <c r="O33" s="32">
        <v>0</v>
      </c>
      <c r="P33" s="33">
        <f t="shared" si="21"/>
        <v>45</v>
      </c>
      <c r="Q33" s="34">
        <f t="shared" si="22"/>
        <v>0</v>
      </c>
      <c r="R33" s="35">
        <f t="shared" si="23"/>
        <v>51</v>
      </c>
      <c r="S33" s="36">
        <f t="shared" si="24"/>
        <v>4360</v>
      </c>
      <c r="T33" s="37" t="str">
        <f t="shared" si="25"/>
        <v/>
      </c>
    </row>
    <row r="34" spans="2:20" s="38" customFormat="1" x14ac:dyDescent="0.3">
      <c r="B34" s="18" t="s">
        <v>172</v>
      </c>
      <c r="C34" s="23" t="s">
        <v>18</v>
      </c>
      <c r="D34" s="46" t="str">
        <f t="shared" si="13"/>
        <v>Federazione Italiana Sport per Tutti</v>
      </c>
      <c r="E34" s="46" t="str">
        <f t="shared" si="14"/>
        <v>Italy</v>
      </c>
      <c r="F34" s="32">
        <v>10</v>
      </c>
      <c r="G34" s="33">
        <f t="shared" si="15"/>
        <v>280</v>
      </c>
      <c r="H34" s="34">
        <f t="shared" si="16"/>
        <v>2800</v>
      </c>
      <c r="I34" s="32">
        <v>41</v>
      </c>
      <c r="J34" s="33">
        <f t="shared" si="17"/>
        <v>214</v>
      </c>
      <c r="K34" s="34">
        <f t="shared" si="18"/>
        <v>8774</v>
      </c>
      <c r="L34" s="32">
        <v>0</v>
      </c>
      <c r="M34" s="33">
        <f t="shared" si="19"/>
        <v>162</v>
      </c>
      <c r="N34" s="34">
        <f t="shared" si="20"/>
        <v>0</v>
      </c>
      <c r="O34" s="32">
        <v>0</v>
      </c>
      <c r="P34" s="33">
        <f t="shared" si="21"/>
        <v>131</v>
      </c>
      <c r="Q34" s="34">
        <f t="shared" si="22"/>
        <v>0</v>
      </c>
      <c r="R34" s="35">
        <f t="shared" si="23"/>
        <v>51</v>
      </c>
      <c r="S34" s="36">
        <f t="shared" si="24"/>
        <v>11574</v>
      </c>
      <c r="T34" s="37" t="str">
        <f t="shared" si="25"/>
        <v/>
      </c>
    </row>
    <row r="35" spans="2:20" s="38" customFormat="1" x14ac:dyDescent="0.3">
      <c r="B35" s="18" t="s">
        <v>172</v>
      </c>
      <c r="C35" s="23" t="s">
        <v>156</v>
      </c>
      <c r="D35" s="46" t="str">
        <f t="shared" si="13"/>
        <v>Dinamo Zagreb sportska akademija</v>
      </c>
      <c r="E35" s="46" t="str">
        <f t="shared" si="14"/>
        <v>Croatia</v>
      </c>
      <c r="F35" s="32">
        <v>10</v>
      </c>
      <c r="G35" s="33">
        <f t="shared" si="15"/>
        <v>88</v>
      </c>
      <c r="H35" s="34">
        <f t="shared" si="16"/>
        <v>880</v>
      </c>
      <c r="I35" s="32">
        <v>41</v>
      </c>
      <c r="J35" s="33">
        <f t="shared" si="17"/>
        <v>74</v>
      </c>
      <c r="K35" s="34">
        <f t="shared" si="18"/>
        <v>3034</v>
      </c>
      <c r="L35" s="32">
        <v>0</v>
      </c>
      <c r="M35" s="33">
        <f t="shared" si="19"/>
        <v>55</v>
      </c>
      <c r="N35" s="34">
        <f t="shared" si="20"/>
        <v>0</v>
      </c>
      <c r="O35" s="32">
        <v>0</v>
      </c>
      <c r="P35" s="33">
        <f t="shared" si="21"/>
        <v>39</v>
      </c>
      <c r="Q35" s="34">
        <f t="shared" si="22"/>
        <v>0</v>
      </c>
      <c r="R35" s="35">
        <f t="shared" si="23"/>
        <v>51</v>
      </c>
      <c r="S35" s="36">
        <f t="shared" si="24"/>
        <v>3914</v>
      </c>
      <c r="T35" s="37" t="str">
        <f t="shared" si="25"/>
        <v/>
      </c>
    </row>
    <row r="36" spans="2:20" s="38" customFormat="1" x14ac:dyDescent="0.3">
      <c r="B36" s="18" t="s">
        <v>172</v>
      </c>
      <c r="C36" s="23" t="s">
        <v>16</v>
      </c>
      <c r="D36" s="46" t="str">
        <f t="shared" si="13"/>
        <v>Turkiye Milli Olimpiyat Komitesi</v>
      </c>
      <c r="E36" s="46" t="str">
        <f t="shared" si="14"/>
        <v>Turkey</v>
      </c>
      <c r="F36" s="32">
        <v>10</v>
      </c>
      <c r="G36" s="33">
        <f t="shared" si="15"/>
        <v>88</v>
      </c>
      <c r="H36" s="34">
        <f t="shared" si="16"/>
        <v>880</v>
      </c>
      <c r="I36" s="32">
        <v>41</v>
      </c>
      <c r="J36" s="33">
        <f t="shared" si="17"/>
        <v>74</v>
      </c>
      <c r="K36" s="34">
        <f t="shared" si="18"/>
        <v>3034</v>
      </c>
      <c r="L36" s="32">
        <v>0</v>
      </c>
      <c r="M36" s="33">
        <f t="shared" si="19"/>
        <v>55</v>
      </c>
      <c r="N36" s="34">
        <f t="shared" si="20"/>
        <v>0</v>
      </c>
      <c r="O36" s="32">
        <v>0</v>
      </c>
      <c r="P36" s="33">
        <f t="shared" si="21"/>
        <v>39</v>
      </c>
      <c r="Q36" s="34">
        <f t="shared" si="22"/>
        <v>0</v>
      </c>
      <c r="R36" s="35">
        <f t="shared" si="23"/>
        <v>51</v>
      </c>
      <c r="S36" s="36">
        <f t="shared" si="24"/>
        <v>3914</v>
      </c>
      <c r="T36" s="37" t="str">
        <f t="shared" si="25"/>
        <v/>
      </c>
    </row>
    <row r="37" spans="2:20" s="38" customFormat="1" x14ac:dyDescent="0.3">
      <c r="B37" s="18" t="s">
        <v>172</v>
      </c>
      <c r="C37" s="23" t="s">
        <v>9</v>
      </c>
      <c r="D37" s="46" t="str">
        <f t="shared" si="13"/>
        <v>SheTech team, DUNP</v>
      </c>
      <c r="E37" s="46" t="str">
        <f t="shared" si="14"/>
        <v>Serbia</v>
      </c>
      <c r="F37" s="32">
        <v>41</v>
      </c>
      <c r="G37" s="33">
        <f t="shared" si="15"/>
        <v>88</v>
      </c>
      <c r="H37" s="34">
        <f t="shared" si="16"/>
        <v>3608</v>
      </c>
      <c r="I37" s="32">
        <v>40</v>
      </c>
      <c r="J37" s="33">
        <f t="shared" si="17"/>
        <v>74</v>
      </c>
      <c r="K37" s="34">
        <f t="shared" si="18"/>
        <v>2960</v>
      </c>
      <c r="L37" s="32">
        <v>6</v>
      </c>
      <c r="M37" s="33">
        <f t="shared" si="19"/>
        <v>55</v>
      </c>
      <c r="N37" s="34">
        <f t="shared" si="20"/>
        <v>330</v>
      </c>
      <c r="O37" s="32">
        <v>30</v>
      </c>
      <c r="P37" s="33">
        <f t="shared" si="21"/>
        <v>39</v>
      </c>
      <c r="Q37" s="34">
        <f t="shared" si="22"/>
        <v>1170</v>
      </c>
      <c r="R37" s="35">
        <f t="shared" si="23"/>
        <v>117</v>
      </c>
      <c r="S37" s="36">
        <f t="shared" si="24"/>
        <v>8068</v>
      </c>
      <c r="T37" s="37" t="str">
        <f t="shared" si="25"/>
        <v/>
      </c>
    </row>
    <row r="38" spans="2:20" s="38" customFormat="1" x14ac:dyDescent="0.3">
      <c r="B38" s="18" t="s">
        <v>172</v>
      </c>
      <c r="C38" s="23" t="s">
        <v>9</v>
      </c>
      <c r="D38" s="46" t="str">
        <f t="shared" si="13"/>
        <v>SheTech team, DUNP</v>
      </c>
      <c r="E38" s="46" t="str">
        <f t="shared" si="14"/>
        <v>Serbia</v>
      </c>
      <c r="F38" s="32">
        <v>15</v>
      </c>
      <c r="G38" s="33">
        <f t="shared" si="15"/>
        <v>88</v>
      </c>
      <c r="H38" s="34">
        <f t="shared" si="16"/>
        <v>1320</v>
      </c>
      <c r="I38" s="32">
        <v>28</v>
      </c>
      <c r="J38" s="33">
        <f t="shared" si="17"/>
        <v>74</v>
      </c>
      <c r="K38" s="34">
        <f t="shared" si="18"/>
        <v>2072</v>
      </c>
      <c r="L38" s="32">
        <v>0</v>
      </c>
      <c r="M38" s="33">
        <f t="shared" si="19"/>
        <v>55</v>
      </c>
      <c r="N38" s="34">
        <f t="shared" si="20"/>
        <v>0</v>
      </c>
      <c r="O38" s="32">
        <v>51</v>
      </c>
      <c r="P38" s="33">
        <f t="shared" si="21"/>
        <v>39</v>
      </c>
      <c r="Q38" s="34">
        <f t="shared" si="22"/>
        <v>1989</v>
      </c>
      <c r="R38" s="35">
        <f t="shared" si="23"/>
        <v>94</v>
      </c>
      <c r="S38" s="36">
        <f t="shared" si="24"/>
        <v>5381</v>
      </c>
      <c r="T38" s="37" t="str">
        <f t="shared" si="25"/>
        <v/>
      </c>
    </row>
    <row r="39" spans="2:20" s="38" customFormat="1" x14ac:dyDescent="0.3">
      <c r="B39" s="18" t="s">
        <v>172</v>
      </c>
      <c r="C39" s="23" t="s">
        <v>9</v>
      </c>
      <c r="D39" s="46" t="str">
        <f t="shared" si="13"/>
        <v>SheTech team, DUNP</v>
      </c>
      <c r="E39" s="46" t="str">
        <f t="shared" si="14"/>
        <v>Serbia</v>
      </c>
      <c r="F39" s="32">
        <v>5</v>
      </c>
      <c r="G39" s="33">
        <f t="shared" si="15"/>
        <v>88</v>
      </c>
      <c r="H39" s="34">
        <f t="shared" si="16"/>
        <v>440</v>
      </c>
      <c r="I39" s="32">
        <v>50</v>
      </c>
      <c r="J39" s="33">
        <f t="shared" si="17"/>
        <v>74</v>
      </c>
      <c r="K39" s="34">
        <f t="shared" si="18"/>
        <v>3700</v>
      </c>
      <c r="L39" s="32">
        <v>10</v>
      </c>
      <c r="M39" s="33">
        <f t="shared" si="19"/>
        <v>55</v>
      </c>
      <c r="N39" s="34">
        <f t="shared" si="20"/>
        <v>550</v>
      </c>
      <c r="O39" s="32">
        <v>0</v>
      </c>
      <c r="P39" s="33">
        <f t="shared" si="21"/>
        <v>39</v>
      </c>
      <c r="Q39" s="34">
        <f t="shared" si="22"/>
        <v>0</v>
      </c>
      <c r="R39" s="35">
        <f t="shared" si="23"/>
        <v>65</v>
      </c>
      <c r="S39" s="36">
        <f t="shared" si="24"/>
        <v>4690</v>
      </c>
      <c r="T39" s="37" t="str">
        <f t="shared" si="25"/>
        <v/>
      </c>
    </row>
    <row r="40" spans="2:20" s="38" customFormat="1" x14ac:dyDescent="0.3">
      <c r="B40" s="18" t="s">
        <v>172</v>
      </c>
      <c r="C40" s="23" t="s">
        <v>9</v>
      </c>
      <c r="D40" s="46" t="str">
        <f t="shared" si="13"/>
        <v>SheTech team, DUNP</v>
      </c>
      <c r="E40" s="46" t="str">
        <f t="shared" si="14"/>
        <v>Serbia</v>
      </c>
      <c r="F40" s="32">
        <v>3</v>
      </c>
      <c r="G40" s="33">
        <f t="shared" si="15"/>
        <v>88</v>
      </c>
      <c r="H40" s="34">
        <f t="shared" si="16"/>
        <v>264</v>
      </c>
      <c r="I40" s="32">
        <v>14</v>
      </c>
      <c r="J40" s="33">
        <f t="shared" si="17"/>
        <v>74</v>
      </c>
      <c r="K40" s="34">
        <f t="shared" si="18"/>
        <v>1036</v>
      </c>
      <c r="L40" s="32">
        <v>39</v>
      </c>
      <c r="M40" s="33">
        <f t="shared" si="19"/>
        <v>55</v>
      </c>
      <c r="N40" s="34">
        <f t="shared" si="20"/>
        <v>2145</v>
      </c>
      <c r="O40" s="32">
        <v>0</v>
      </c>
      <c r="P40" s="33">
        <f t="shared" si="21"/>
        <v>39</v>
      </c>
      <c r="Q40" s="34">
        <f t="shared" si="22"/>
        <v>0</v>
      </c>
      <c r="R40" s="35">
        <f t="shared" si="23"/>
        <v>56</v>
      </c>
      <c r="S40" s="36">
        <f t="shared" si="24"/>
        <v>3445</v>
      </c>
      <c r="T40" s="37" t="str">
        <f t="shared" si="25"/>
        <v/>
      </c>
    </row>
    <row r="41" spans="2:20" s="38" customFormat="1" x14ac:dyDescent="0.3">
      <c r="B41" s="18" t="s">
        <v>172</v>
      </c>
      <c r="C41" s="23" t="s">
        <v>9</v>
      </c>
      <c r="D41" s="46" t="str">
        <f t="shared" si="13"/>
        <v>SheTech team, DUNP</v>
      </c>
      <c r="E41" s="46" t="str">
        <f t="shared" si="14"/>
        <v>Serbia</v>
      </c>
      <c r="F41" s="32">
        <v>9</v>
      </c>
      <c r="G41" s="33">
        <f t="shared" si="15"/>
        <v>88</v>
      </c>
      <c r="H41" s="34">
        <f t="shared" si="16"/>
        <v>792</v>
      </c>
      <c r="I41" s="32">
        <v>44</v>
      </c>
      <c r="J41" s="33">
        <f t="shared" si="17"/>
        <v>74</v>
      </c>
      <c r="K41" s="34">
        <f t="shared" si="18"/>
        <v>3256</v>
      </c>
      <c r="L41" s="32">
        <v>0</v>
      </c>
      <c r="M41" s="33">
        <f t="shared" si="19"/>
        <v>55</v>
      </c>
      <c r="N41" s="34">
        <f t="shared" si="20"/>
        <v>0</v>
      </c>
      <c r="O41" s="32">
        <v>2</v>
      </c>
      <c r="P41" s="33">
        <f t="shared" si="21"/>
        <v>39</v>
      </c>
      <c r="Q41" s="34">
        <f t="shared" si="22"/>
        <v>78</v>
      </c>
      <c r="R41" s="35">
        <f t="shared" si="23"/>
        <v>55</v>
      </c>
      <c r="S41" s="36">
        <f t="shared" si="24"/>
        <v>4126</v>
      </c>
      <c r="T41" s="37" t="str">
        <f t="shared" si="25"/>
        <v/>
      </c>
    </row>
    <row r="42" spans="2:20" s="38" customFormat="1" x14ac:dyDescent="0.3">
      <c r="B42" s="18" t="s">
        <v>172</v>
      </c>
      <c r="C42" s="23" t="s">
        <v>9</v>
      </c>
      <c r="D42" s="46" t="str">
        <f t="shared" si="13"/>
        <v>SheTech team, DUNP</v>
      </c>
      <c r="E42" s="46" t="str">
        <f t="shared" si="14"/>
        <v>Serbia</v>
      </c>
      <c r="F42" s="32">
        <v>0</v>
      </c>
      <c r="G42" s="33">
        <f t="shared" si="15"/>
        <v>88</v>
      </c>
      <c r="H42" s="34">
        <f t="shared" si="16"/>
        <v>0</v>
      </c>
      <c r="I42" s="32">
        <v>28</v>
      </c>
      <c r="J42" s="33">
        <f t="shared" si="17"/>
        <v>74</v>
      </c>
      <c r="K42" s="34">
        <f t="shared" si="18"/>
        <v>2072</v>
      </c>
      <c r="L42" s="32">
        <v>0</v>
      </c>
      <c r="M42" s="33">
        <f t="shared" si="19"/>
        <v>55</v>
      </c>
      <c r="N42" s="34">
        <f t="shared" si="20"/>
        <v>0</v>
      </c>
      <c r="O42" s="32">
        <v>0</v>
      </c>
      <c r="P42" s="33">
        <f t="shared" si="21"/>
        <v>39</v>
      </c>
      <c r="Q42" s="34">
        <f t="shared" si="22"/>
        <v>0</v>
      </c>
      <c r="R42" s="35">
        <f t="shared" si="23"/>
        <v>28</v>
      </c>
      <c r="S42" s="36">
        <f t="shared" si="24"/>
        <v>2072</v>
      </c>
      <c r="T42" s="37" t="str">
        <f t="shared" si="25"/>
        <v/>
      </c>
    </row>
    <row r="43" spans="2:20" s="38" customFormat="1" x14ac:dyDescent="0.3">
      <c r="B43" s="18" t="s">
        <v>172</v>
      </c>
      <c r="C43" s="23" t="s">
        <v>9</v>
      </c>
      <c r="D43" s="46" t="str">
        <f t="shared" si="13"/>
        <v>SheTech team, DUNP</v>
      </c>
      <c r="E43" s="46" t="str">
        <f t="shared" si="14"/>
        <v>Serbia</v>
      </c>
      <c r="F43" s="32">
        <v>0</v>
      </c>
      <c r="G43" s="33">
        <f t="shared" si="15"/>
        <v>88</v>
      </c>
      <c r="H43" s="34">
        <f t="shared" si="16"/>
        <v>0</v>
      </c>
      <c r="I43" s="32">
        <v>6</v>
      </c>
      <c r="J43" s="33">
        <f t="shared" si="17"/>
        <v>74</v>
      </c>
      <c r="K43" s="34">
        <f t="shared" si="18"/>
        <v>444</v>
      </c>
      <c r="L43" s="32">
        <v>0</v>
      </c>
      <c r="M43" s="33">
        <f t="shared" si="19"/>
        <v>55</v>
      </c>
      <c r="N43" s="34">
        <f t="shared" si="20"/>
        <v>0</v>
      </c>
      <c r="O43" s="32">
        <v>6</v>
      </c>
      <c r="P43" s="33">
        <f t="shared" si="21"/>
        <v>39</v>
      </c>
      <c r="Q43" s="34">
        <f t="shared" si="22"/>
        <v>234</v>
      </c>
      <c r="R43" s="35">
        <f t="shared" si="23"/>
        <v>12</v>
      </c>
      <c r="S43" s="36">
        <f t="shared" si="24"/>
        <v>678</v>
      </c>
      <c r="T43" s="37" t="str">
        <f t="shared" si="25"/>
        <v/>
      </c>
    </row>
    <row r="44" spans="2:20" s="38" customFormat="1" x14ac:dyDescent="0.3">
      <c r="B44" s="18" t="s">
        <v>172</v>
      </c>
      <c r="C44" s="23" t="s">
        <v>9</v>
      </c>
      <c r="D44" s="46" t="str">
        <f t="shared" si="13"/>
        <v>SheTech team, DUNP</v>
      </c>
      <c r="E44" s="46" t="str">
        <f t="shared" si="14"/>
        <v>Serbia</v>
      </c>
      <c r="F44" s="32">
        <v>0</v>
      </c>
      <c r="G44" s="33">
        <f t="shared" si="15"/>
        <v>88</v>
      </c>
      <c r="H44" s="34">
        <f t="shared" si="16"/>
        <v>0</v>
      </c>
      <c r="I44" s="32">
        <v>24</v>
      </c>
      <c r="J44" s="33">
        <f t="shared" si="17"/>
        <v>74</v>
      </c>
      <c r="K44" s="34">
        <f t="shared" si="18"/>
        <v>1776</v>
      </c>
      <c r="L44" s="32">
        <v>0</v>
      </c>
      <c r="M44" s="33">
        <f t="shared" si="19"/>
        <v>55</v>
      </c>
      <c r="N44" s="34">
        <f t="shared" si="20"/>
        <v>0</v>
      </c>
      <c r="O44" s="32">
        <v>20</v>
      </c>
      <c r="P44" s="33">
        <f t="shared" si="21"/>
        <v>39</v>
      </c>
      <c r="Q44" s="34">
        <f t="shared" si="22"/>
        <v>780</v>
      </c>
      <c r="R44" s="35">
        <f t="shared" si="23"/>
        <v>44</v>
      </c>
      <c r="S44" s="36">
        <f t="shared" si="24"/>
        <v>2556</v>
      </c>
      <c r="T44" s="37" t="str">
        <f t="shared" si="25"/>
        <v/>
      </c>
    </row>
    <row r="45" spans="2:20" s="38" customFormat="1" x14ac:dyDescent="0.3">
      <c r="B45" s="18" t="s">
        <v>172</v>
      </c>
      <c r="C45" s="23" t="s">
        <v>9</v>
      </c>
      <c r="D45" s="46" t="str">
        <f t="shared" si="13"/>
        <v>SheTech team, DUNP</v>
      </c>
      <c r="E45" s="46" t="str">
        <f t="shared" si="14"/>
        <v>Serbia</v>
      </c>
      <c r="F45" s="32">
        <v>22</v>
      </c>
      <c r="G45" s="33">
        <f t="shared" si="15"/>
        <v>88</v>
      </c>
      <c r="H45" s="34">
        <f t="shared" si="16"/>
        <v>1936</v>
      </c>
      <c r="I45" s="32">
        <v>96</v>
      </c>
      <c r="J45" s="33">
        <f t="shared" si="17"/>
        <v>74</v>
      </c>
      <c r="K45" s="34">
        <f t="shared" si="18"/>
        <v>7104</v>
      </c>
      <c r="L45" s="32">
        <v>0</v>
      </c>
      <c r="M45" s="33">
        <f t="shared" si="19"/>
        <v>55</v>
      </c>
      <c r="N45" s="34">
        <f t="shared" si="20"/>
        <v>0</v>
      </c>
      <c r="O45" s="32">
        <v>0</v>
      </c>
      <c r="P45" s="33">
        <f t="shared" si="21"/>
        <v>39</v>
      </c>
      <c r="Q45" s="34">
        <f t="shared" si="22"/>
        <v>0</v>
      </c>
      <c r="R45" s="35">
        <f t="shared" si="23"/>
        <v>118</v>
      </c>
      <c r="S45" s="36">
        <f t="shared" si="24"/>
        <v>9040</v>
      </c>
      <c r="T45" s="37" t="str">
        <f t="shared" si="25"/>
        <v/>
      </c>
    </row>
    <row r="46" spans="2:20" s="38" customFormat="1" x14ac:dyDescent="0.3">
      <c r="B46" s="18" t="s">
        <v>319</v>
      </c>
      <c r="C46" s="23" t="s">
        <v>9</v>
      </c>
      <c r="D46" s="46" t="str">
        <f t="shared" si="13"/>
        <v>SheTech team, DUNP</v>
      </c>
      <c r="E46" s="46" t="str">
        <f t="shared" si="14"/>
        <v>Serbia</v>
      </c>
      <c r="F46" s="32">
        <v>8</v>
      </c>
      <c r="G46" s="33">
        <f t="shared" si="15"/>
        <v>88</v>
      </c>
      <c r="H46" s="34">
        <f t="shared" si="16"/>
        <v>704</v>
      </c>
      <c r="I46" s="32">
        <v>2</v>
      </c>
      <c r="J46" s="33">
        <f t="shared" si="17"/>
        <v>74</v>
      </c>
      <c r="K46" s="34">
        <f t="shared" si="18"/>
        <v>148</v>
      </c>
      <c r="L46" s="32">
        <v>0</v>
      </c>
      <c r="M46" s="33">
        <f t="shared" si="19"/>
        <v>55</v>
      </c>
      <c r="N46" s="34">
        <f t="shared" si="20"/>
        <v>0</v>
      </c>
      <c r="O46" s="32">
        <v>8</v>
      </c>
      <c r="P46" s="33">
        <f t="shared" si="21"/>
        <v>39</v>
      </c>
      <c r="Q46" s="34">
        <f t="shared" si="22"/>
        <v>312</v>
      </c>
      <c r="R46" s="35">
        <f t="shared" si="23"/>
        <v>18</v>
      </c>
      <c r="S46" s="36">
        <f t="shared" si="24"/>
        <v>1164</v>
      </c>
      <c r="T46" s="37" t="str">
        <f t="shared" si="25"/>
        <v/>
      </c>
    </row>
    <row r="47" spans="2:20" s="38" customFormat="1" x14ac:dyDescent="0.3">
      <c r="B47" s="18" t="s">
        <v>319</v>
      </c>
      <c r="C47" s="23" t="s">
        <v>9</v>
      </c>
      <c r="D47" s="46" t="str">
        <f t="shared" si="13"/>
        <v>SheTech team, DUNP</v>
      </c>
      <c r="E47" s="46" t="str">
        <f t="shared" si="14"/>
        <v>Serbia</v>
      </c>
      <c r="F47" s="32">
        <v>4</v>
      </c>
      <c r="G47" s="33">
        <f t="shared" si="15"/>
        <v>88</v>
      </c>
      <c r="H47" s="34">
        <f t="shared" si="16"/>
        <v>352</v>
      </c>
      <c r="I47" s="32">
        <v>0</v>
      </c>
      <c r="J47" s="33">
        <f t="shared" si="17"/>
        <v>74</v>
      </c>
      <c r="K47" s="34">
        <f t="shared" si="18"/>
        <v>0</v>
      </c>
      <c r="L47" s="32">
        <v>75</v>
      </c>
      <c r="M47" s="33">
        <f t="shared" si="19"/>
        <v>55</v>
      </c>
      <c r="N47" s="34">
        <f t="shared" si="20"/>
        <v>4125</v>
      </c>
      <c r="O47" s="32">
        <v>8</v>
      </c>
      <c r="P47" s="33">
        <f t="shared" si="21"/>
        <v>39</v>
      </c>
      <c r="Q47" s="34">
        <f t="shared" si="22"/>
        <v>312</v>
      </c>
      <c r="R47" s="35">
        <f t="shared" si="23"/>
        <v>87</v>
      </c>
      <c r="S47" s="36">
        <f t="shared" si="24"/>
        <v>4789</v>
      </c>
      <c r="T47" s="37" t="str">
        <f t="shared" si="25"/>
        <v/>
      </c>
    </row>
    <row r="48" spans="2:20" s="38" customFormat="1" x14ac:dyDescent="0.3">
      <c r="B48" s="18" t="s">
        <v>319</v>
      </c>
      <c r="C48" s="23" t="s">
        <v>9</v>
      </c>
      <c r="D48" s="46" t="str">
        <f t="shared" si="13"/>
        <v>SheTech team, DUNP</v>
      </c>
      <c r="E48" s="46" t="str">
        <f t="shared" si="14"/>
        <v>Serbia</v>
      </c>
      <c r="F48" s="32">
        <v>0</v>
      </c>
      <c r="G48" s="33">
        <f t="shared" si="15"/>
        <v>88</v>
      </c>
      <c r="H48" s="34">
        <f t="shared" si="16"/>
        <v>0</v>
      </c>
      <c r="I48" s="32">
        <v>0</v>
      </c>
      <c r="J48" s="33">
        <f t="shared" si="17"/>
        <v>74</v>
      </c>
      <c r="K48" s="34">
        <f t="shared" si="18"/>
        <v>0</v>
      </c>
      <c r="L48" s="32">
        <v>44</v>
      </c>
      <c r="M48" s="33">
        <f t="shared" si="19"/>
        <v>55</v>
      </c>
      <c r="N48" s="34">
        <f t="shared" si="20"/>
        <v>2420</v>
      </c>
      <c r="O48" s="32">
        <v>21</v>
      </c>
      <c r="P48" s="33">
        <f t="shared" si="21"/>
        <v>39</v>
      </c>
      <c r="Q48" s="34">
        <f t="shared" si="22"/>
        <v>819</v>
      </c>
      <c r="R48" s="35">
        <f t="shared" si="23"/>
        <v>65</v>
      </c>
      <c r="S48" s="36">
        <f t="shared" si="24"/>
        <v>3239</v>
      </c>
      <c r="T48" s="37" t="str">
        <f t="shared" si="25"/>
        <v/>
      </c>
    </row>
    <row r="49" spans="2:20" s="38" customFormat="1" x14ac:dyDescent="0.3">
      <c r="B49" s="18" t="s">
        <v>318</v>
      </c>
      <c r="C49" s="23" t="s">
        <v>9</v>
      </c>
      <c r="D49" s="46" t="str">
        <f t="shared" si="13"/>
        <v>SheTech team, DUNP</v>
      </c>
      <c r="E49" s="46" t="str">
        <f t="shared" si="14"/>
        <v>Serbia</v>
      </c>
      <c r="F49" s="32">
        <v>6</v>
      </c>
      <c r="G49" s="33">
        <f t="shared" si="15"/>
        <v>88</v>
      </c>
      <c r="H49" s="34">
        <f t="shared" si="16"/>
        <v>528</v>
      </c>
      <c r="I49" s="32">
        <v>24</v>
      </c>
      <c r="J49" s="33">
        <f t="shared" si="17"/>
        <v>74</v>
      </c>
      <c r="K49" s="34">
        <f t="shared" si="18"/>
        <v>1776</v>
      </c>
      <c r="L49" s="32">
        <v>14</v>
      </c>
      <c r="M49" s="33">
        <f t="shared" si="19"/>
        <v>55</v>
      </c>
      <c r="N49" s="34">
        <f t="shared" si="20"/>
        <v>770</v>
      </c>
      <c r="O49" s="32">
        <v>6</v>
      </c>
      <c r="P49" s="33">
        <f t="shared" si="21"/>
        <v>39</v>
      </c>
      <c r="Q49" s="34">
        <f t="shared" si="22"/>
        <v>234</v>
      </c>
      <c r="R49" s="35">
        <f t="shared" si="23"/>
        <v>50</v>
      </c>
      <c r="S49" s="36">
        <f t="shared" si="24"/>
        <v>3308</v>
      </c>
      <c r="T49" s="37" t="str">
        <f t="shared" si="25"/>
        <v/>
      </c>
    </row>
    <row r="50" spans="2:20" s="38" customFormat="1" x14ac:dyDescent="0.3">
      <c r="B50" s="18" t="s">
        <v>174</v>
      </c>
      <c r="C50" s="23" t="s">
        <v>8</v>
      </c>
      <c r="D50" s="46" t="str">
        <f t="shared" si="13"/>
        <v>Udruženje "Sport za sve i rekreacija"</v>
      </c>
      <c r="E50" s="46" t="str">
        <f t="shared" si="14"/>
        <v>Serbia</v>
      </c>
      <c r="F50" s="32">
        <v>35</v>
      </c>
      <c r="G50" s="33">
        <f t="shared" si="15"/>
        <v>88</v>
      </c>
      <c r="H50" s="34">
        <f t="shared" si="16"/>
        <v>3080</v>
      </c>
      <c r="I50" s="32">
        <v>0</v>
      </c>
      <c r="J50" s="33">
        <f t="shared" si="17"/>
        <v>74</v>
      </c>
      <c r="K50" s="34">
        <f t="shared" si="18"/>
        <v>0</v>
      </c>
      <c r="L50" s="32">
        <v>0</v>
      </c>
      <c r="M50" s="33">
        <f t="shared" si="19"/>
        <v>55</v>
      </c>
      <c r="N50" s="34">
        <f t="shared" si="20"/>
        <v>0</v>
      </c>
      <c r="O50" s="32">
        <v>0</v>
      </c>
      <c r="P50" s="33">
        <f t="shared" si="21"/>
        <v>39</v>
      </c>
      <c r="Q50" s="34">
        <f t="shared" si="22"/>
        <v>0</v>
      </c>
      <c r="R50" s="35">
        <f t="shared" si="23"/>
        <v>35</v>
      </c>
      <c r="S50" s="36">
        <f t="shared" si="24"/>
        <v>3080</v>
      </c>
      <c r="T50" s="37" t="str">
        <f t="shared" si="25"/>
        <v/>
      </c>
    </row>
    <row r="51" spans="2:20" s="38" customFormat="1" x14ac:dyDescent="0.3">
      <c r="B51" s="18" t="s">
        <v>174</v>
      </c>
      <c r="C51" s="23" t="s">
        <v>156</v>
      </c>
      <c r="D51" s="46" t="str">
        <f t="shared" si="13"/>
        <v>Dinamo Zagreb sportska akademija</v>
      </c>
      <c r="E51" s="46" t="str">
        <f t="shared" si="14"/>
        <v>Croatia</v>
      </c>
      <c r="F51" s="32">
        <v>35</v>
      </c>
      <c r="G51" s="33">
        <f t="shared" si="15"/>
        <v>88</v>
      </c>
      <c r="H51" s="34">
        <f t="shared" si="16"/>
        <v>3080</v>
      </c>
      <c r="I51" s="32">
        <v>0</v>
      </c>
      <c r="J51" s="33">
        <f t="shared" si="17"/>
        <v>74</v>
      </c>
      <c r="K51" s="34">
        <f t="shared" si="18"/>
        <v>0</v>
      </c>
      <c r="L51" s="32">
        <v>0</v>
      </c>
      <c r="M51" s="33">
        <f t="shared" si="19"/>
        <v>55</v>
      </c>
      <c r="N51" s="34">
        <f t="shared" si="20"/>
        <v>0</v>
      </c>
      <c r="O51" s="32">
        <v>0</v>
      </c>
      <c r="P51" s="33">
        <f t="shared" si="21"/>
        <v>39</v>
      </c>
      <c r="Q51" s="34">
        <f t="shared" si="22"/>
        <v>0</v>
      </c>
      <c r="R51" s="35">
        <f t="shared" si="23"/>
        <v>35</v>
      </c>
      <c r="S51" s="36">
        <f t="shared" si="24"/>
        <v>3080</v>
      </c>
      <c r="T51" s="37" t="str">
        <f t="shared" si="25"/>
        <v/>
      </c>
    </row>
    <row r="52" spans="2:20" s="38" customFormat="1" x14ac:dyDescent="0.3">
      <c r="B52" s="18" t="s">
        <v>174</v>
      </c>
      <c r="C52" s="23" t="s">
        <v>19</v>
      </c>
      <c r="D52" s="46" t="str">
        <f t="shared" si="13"/>
        <v>National Sports Academy "Vassil Levski"</v>
      </c>
      <c r="E52" s="46" t="str">
        <f t="shared" si="14"/>
        <v>Bulgaria</v>
      </c>
      <c r="F52" s="32">
        <v>35</v>
      </c>
      <c r="G52" s="33">
        <f t="shared" si="15"/>
        <v>88</v>
      </c>
      <c r="H52" s="34">
        <f t="shared" si="16"/>
        <v>3080</v>
      </c>
      <c r="I52" s="32">
        <v>0</v>
      </c>
      <c r="J52" s="33">
        <f t="shared" si="17"/>
        <v>74</v>
      </c>
      <c r="K52" s="34">
        <f t="shared" si="18"/>
        <v>0</v>
      </c>
      <c r="L52" s="32">
        <v>0</v>
      </c>
      <c r="M52" s="33">
        <f t="shared" si="19"/>
        <v>55</v>
      </c>
      <c r="N52" s="34">
        <f t="shared" si="20"/>
        <v>0</v>
      </c>
      <c r="O52" s="32">
        <v>0</v>
      </c>
      <c r="P52" s="33">
        <f t="shared" si="21"/>
        <v>39</v>
      </c>
      <c r="Q52" s="34">
        <f t="shared" si="22"/>
        <v>0</v>
      </c>
      <c r="R52" s="35">
        <f t="shared" si="23"/>
        <v>35</v>
      </c>
      <c r="S52" s="36">
        <f t="shared" si="24"/>
        <v>3080</v>
      </c>
      <c r="T52" s="37" t="str">
        <f t="shared" si="25"/>
        <v/>
      </c>
    </row>
    <row r="53" spans="2:20" s="38" customFormat="1" x14ac:dyDescent="0.3">
      <c r="B53" s="18" t="s">
        <v>174</v>
      </c>
      <c r="C53" s="23" t="s">
        <v>17</v>
      </c>
      <c r="D53" s="46" t="str">
        <f t="shared" si="13"/>
        <v>Nacionalni športni centar Planica</v>
      </c>
      <c r="E53" s="46" t="str">
        <f t="shared" si="14"/>
        <v>Slovenia</v>
      </c>
      <c r="F53" s="32">
        <v>35</v>
      </c>
      <c r="G53" s="33">
        <f t="shared" si="15"/>
        <v>164</v>
      </c>
      <c r="H53" s="34">
        <f t="shared" si="16"/>
        <v>5740</v>
      </c>
      <c r="I53" s="32">
        <v>0</v>
      </c>
      <c r="J53" s="33">
        <f t="shared" si="17"/>
        <v>137</v>
      </c>
      <c r="K53" s="34">
        <f t="shared" si="18"/>
        <v>0</v>
      </c>
      <c r="L53" s="32">
        <v>0</v>
      </c>
      <c r="M53" s="33">
        <f t="shared" si="19"/>
        <v>102</v>
      </c>
      <c r="N53" s="34">
        <f t="shared" si="20"/>
        <v>0</v>
      </c>
      <c r="O53" s="32">
        <v>0</v>
      </c>
      <c r="P53" s="33">
        <f t="shared" si="21"/>
        <v>78</v>
      </c>
      <c r="Q53" s="34">
        <f t="shared" si="22"/>
        <v>0</v>
      </c>
      <c r="R53" s="35">
        <f t="shared" si="23"/>
        <v>35</v>
      </c>
      <c r="S53" s="36">
        <f t="shared" si="24"/>
        <v>5740</v>
      </c>
      <c r="T53" s="37" t="str">
        <f t="shared" si="25"/>
        <v/>
      </c>
    </row>
    <row r="54" spans="2:20" s="38" customFormat="1" x14ac:dyDescent="0.3">
      <c r="B54" s="18" t="s">
        <v>174</v>
      </c>
      <c r="C54" s="23" t="s">
        <v>23</v>
      </c>
      <c r="D54" s="46" t="str">
        <f t="shared" si="13"/>
        <v>Sportski savez KS</v>
      </c>
      <c r="E54" s="46" t="str">
        <f t="shared" si="14"/>
        <v>Bosnia and Herzegovina</v>
      </c>
      <c r="F54" s="32">
        <v>35</v>
      </c>
      <c r="G54" s="33">
        <f t="shared" si="15"/>
        <v>108</v>
      </c>
      <c r="H54" s="34">
        <f t="shared" si="16"/>
        <v>3780</v>
      </c>
      <c r="I54" s="32">
        <v>0</v>
      </c>
      <c r="J54" s="33">
        <f t="shared" si="17"/>
        <v>80</v>
      </c>
      <c r="K54" s="34">
        <f t="shared" si="18"/>
        <v>0</v>
      </c>
      <c r="L54" s="32">
        <v>0</v>
      </c>
      <c r="M54" s="33">
        <f t="shared" si="19"/>
        <v>57</v>
      </c>
      <c r="N54" s="34">
        <f t="shared" si="20"/>
        <v>0</v>
      </c>
      <c r="O54" s="32">
        <v>0</v>
      </c>
      <c r="P54" s="33">
        <f t="shared" si="21"/>
        <v>45</v>
      </c>
      <c r="Q54" s="34">
        <f t="shared" si="22"/>
        <v>0</v>
      </c>
      <c r="R54" s="35">
        <f t="shared" si="23"/>
        <v>35</v>
      </c>
      <c r="S54" s="36">
        <f t="shared" si="24"/>
        <v>3780</v>
      </c>
      <c r="T54" s="37" t="str">
        <f t="shared" si="25"/>
        <v/>
      </c>
    </row>
    <row r="55" spans="2:20" s="38" customFormat="1" x14ac:dyDescent="0.3">
      <c r="B55" s="18" t="s">
        <v>174</v>
      </c>
      <c r="C55" s="23" t="s">
        <v>24</v>
      </c>
      <c r="D55" s="46" t="str">
        <f t="shared" si="13"/>
        <v>Škola sporta "FC Porto"</v>
      </c>
      <c r="E55" s="46" t="str">
        <f t="shared" si="14"/>
        <v>Portugal</v>
      </c>
      <c r="F55" s="32">
        <v>35</v>
      </c>
      <c r="G55" s="33">
        <f t="shared" si="15"/>
        <v>164</v>
      </c>
      <c r="H55" s="34">
        <f t="shared" si="16"/>
        <v>5740</v>
      </c>
      <c r="I55" s="32">
        <v>0</v>
      </c>
      <c r="J55" s="33">
        <f t="shared" si="17"/>
        <v>137</v>
      </c>
      <c r="K55" s="34">
        <f t="shared" si="18"/>
        <v>0</v>
      </c>
      <c r="L55" s="32">
        <v>0</v>
      </c>
      <c r="M55" s="33">
        <f t="shared" si="19"/>
        <v>102</v>
      </c>
      <c r="N55" s="34">
        <f t="shared" si="20"/>
        <v>0</v>
      </c>
      <c r="O55" s="32">
        <v>0</v>
      </c>
      <c r="P55" s="33">
        <f t="shared" si="21"/>
        <v>78</v>
      </c>
      <c r="Q55" s="34">
        <f t="shared" si="22"/>
        <v>0</v>
      </c>
      <c r="R55" s="35">
        <f t="shared" si="23"/>
        <v>35</v>
      </c>
      <c r="S55" s="36">
        <f t="shared" si="24"/>
        <v>5740</v>
      </c>
      <c r="T55" s="37" t="str">
        <f t="shared" si="25"/>
        <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548" priority="1107" operator="containsText" text="Error">
      <formula>NOT(ISERROR(SEARCH("Error",T13)))</formula>
    </cfRule>
  </conditionalFormatting>
  <conditionalFormatting sqref="D13:E14">
    <cfRule type="containsBlanks" dxfId="547" priority="1103">
      <formula>LEN(TRIM(D13))=0</formula>
    </cfRule>
  </conditionalFormatting>
  <conditionalFormatting sqref="F14 I14 L14 O14">
    <cfRule type="expression" dxfId="546" priority="474">
      <formula>ISNUMBER(F14)=FALSE</formula>
    </cfRule>
  </conditionalFormatting>
  <conditionalFormatting sqref="F13 I13 L13 O13">
    <cfRule type="expression" dxfId="545" priority="473">
      <formula>ISNUMBER(F13)=FALSE</formula>
    </cfRule>
  </conditionalFormatting>
  <conditionalFormatting sqref="B13:C13">
    <cfRule type="containsBlanks" dxfId="544" priority="466">
      <formula>LEN(TRIM(B13))=0</formula>
    </cfRule>
  </conditionalFormatting>
  <conditionalFormatting sqref="B14:C14">
    <cfRule type="containsBlanks" dxfId="543" priority="465">
      <formula>LEN(TRIM(B14))=0</formula>
    </cfRule>
  </conditionalFormatting>
  <conditionalFormatting sqref="T15">
    <cfRule type="containsText" dxfId="542" priority="180" operator="containsText" text="Error">
      <formula>NOT(ISERROR(SEARCH("Error",T15)))</formula>
    </cfRule>
  </conditionalFormatting>
  <conditionalFormatting sqref="D15:E15">
    <cfRule type="containsBlanks" dxfId="541" priority="179">
      <formula>LEN(TRIM(D15))=0</formula>
    </cfRule>
  </conditionalFormatting>
  <conditionalFormatting sqref="F15 I15 L15 O15">
    <cfRule type="expression" dxfId="540" priority="178">
      <formula>ISNUMBER(F15)=FALSE</formula>
    </cfRule>
  </conditionalFormatting>
  <conditionalFormatting sqref="B15:C15">
    <cfRule type="containsBlanks" dxfId="539" priority="177">
      <formula>LEN(TRIM(B15))=0</formula>
    </cfRule>
  </conditionalFormatting>
  <conditionalFormatting sqref="T16">
    <cfRule type="containsText" dxfId="538" priority="176" operator="containsText" text="Error">
      <formula>NOT(ISERROR(SEARCH("Error",T16)))</formula>
    </cfRule>
  </conditionalFormatting>
  <conditionalFormatting sqref="D16:E16">
    <cfRule type="containsBlanks" dxfId="537" priority="175">
      <formula>LEN(TRIM(D16))=0</formula>
    </cfRule>
  </conditionalFormatting>
  <conditionalFormatting sqref="F16 I16 L16 O16">
    <cfRule type="expression" dxfId="536" priority="174">
      <formula>ISNUMBER(F16)=FALSE</formula>
    </cfRule>
  </conditionalFormatting>
  <conditionalFormatting sqref="B16:C16">
    <cfRule type="containsBlanks" dxfId="535" priority="173">
      <formula>LEN(TRIM(B16))=0</formula>
    </cfRule>
  </conditionalFormatting>
  <conditionalFormatting sqref="T17">
    <cfRule type="containsText" dxfId="534" priority="172" operator="containsText" text="Error">
      <formula>NOT(ISERROR(SEARCH("Error",T17)))</formula>
    </cfRule>
  </conditionalFormatting>
  <conditionalFormatting sqref="D17:E17">
    <cfRule type="containsBlanks" dxfId="533" priority="171">
      <formula>LEN(TRIM(D17))=0</formula>
    </cfRule>
  </conditionalFormatting>
  <conditionalFormatting sqref="F17 I17 L17 O17">
    <cfRule type="expression" dxfId="532" priority="170">
      <formula>ISNUMBER(F17)=FALSE</formula>
    </cfRule>
  </conditionalFormatting>
  <conditionalFormatting sqref="B17:C17">
    <cfRule type="containsBlanks" dxfId="531" priority="169">
      <formula>LEN(TRIM(B17))=0</formula>
    </cfRule>
  </conditionalFormatting>
  <conditionalFormatting sqref="T18">
    <cfRule type="containsText" dxfId="530" priority="168" operator="containsText" text="Error">
      <formula>NOT(ISERROR(SEARCH("Error",T18)))</formula>
    </cfRule>
  </conditionalFormatting>
  <conditionalFormatting sqref="D18:E18">
    <cfRule type="containsBlanks" dxfId="529" priority="167">
      <formula>LEN(TRIM(D18))=0</formula>
    </cfRule>
  </conditionalFormatting>
  <conditionalFormatting sqref="F18 I18 L18 O18">
    <cfRule type="expression" dxfId="528" priority="166">
      <formula>ISNUMBER(F18)=FALSE</formula>
    </cfRule>
  </conditionalFormatting>
  <conditionalFormatting sqref="B18:C18">
    <cfRule type="containsBlanks" dxfId="527" priority="165">
      <formula>LEN(TRIM(B18))=0</formula>
    </cfRule>
  </conditionalFormatting>
  <conditionalFormatting sqref="T19">
    <cfRule type="containsText" dxfId="526" priority="164" operator="containsText" text="Error">
      <formula>NOT(ISERROR(SEARCH("Error",T19)))</formula>
    </cfRule>
  </conditionalFormatting>
  <conditionalFormatting sqref="D19:E19">
    <cfRule type="containsBlanks" dxfId="525" priority="163">
      <formula>LEN(TRIM(D19))=0</formula>
    </cfRule>
  </conditionalFormatting>
  <conditionalFormatting sqref="F19 I19 L19 O19">
    <cfRule type="expression" dxfId="524" priority="162">
      <formula>ISNUMBER(F19)=FALSE</formula>
    </cfRule>
  </conditionalFormatting>
  <conditionalFormatting sqref="B19:C19">
    <cfRule type="containsBlanks" dxfId="523" priority="161">
      <formula>LEN(TRIM(B19))=0</formula>
    </cfRule>
  </conditionalFormatting>
  <conditionalFormatting sqref="T20">
    <cfRule type="containsText" dxfId="522" priority="160" operator="containsText" text="Error">
      <formula>NOT(ISERROR(SEARCH("Error",T20)))</formula>
    </cfRule>
  </conditionalFormatting>
  <conditionalFormatting sqref="D20:E20">
    <cfRule type="containsBlanks" dxfId="521" priority="159">
      <formula>LEN(TRIM(D20))=0</formula>
    </cfRule>
  </conditionalFormatting>
  <conditionalFormatting sqref="F20 I20 L20 O20">
    <cfRule type="expression" dxfId="520" priority="158">
      <formula>ISNUMBER(F20)=FALSE</formula>
    </cfRule>
  </conditionalFormatting>
  <conditionalFormatting sqref="B20:C20">
    <cfRule type="containsBlanks" dxfId="519" priority="157">
      <formula>LEN(TRIM(B20))=0</formula>
    </cfRule>
  </conditionalFormatting>
  <conditionalFormatting sqref="T21">
    <cfRule type="containsText" dxfId="518" priority="156" operator="containsText" text="Error">
      <formula>NOT(ISERROR(SEARCH("Error",T21)))</formula>
    </cfRule>
  </conditionalFormatting>
  <conditionalFormatting sqref="D21:E21">
    <cfRule type="containsBlanks" dxfId="517" priority="155">
      <formula>LEN(TRIM(D21))=0</formula>
    </cfRule>
  </conditionalFormatting>
  <conditionalFormatting sqref="F21 I21 L21 O21">
    <cfRule type="expression" dxfId="516" priority="154">
      <formula>ISNUMBER(F21)=FALSE</formula>
    </cfRule>
  </conditionalFormatting>
  <conditionalFormatting sqref="B21:C21">
    <cfRule type="containsBlanks" dxfId="515" priority="153">
      <formula>LEN(TRIM(B21))=0</formula>
    </cfRule>
  </conditionalFormatting>
  <conditionalFormatting sqref="T22">
    <cfRule type="containsText" dxfId="514" priority="152" operator="containsText" text="Error">
      <formula>NOT(ISERROR(SEARCH("Error",T22)))</formula>
    </cfRule>
  </conditionalFormatting>
  <conditionalFormatting sqref="D22:E22">
    <cfRule type="containsBlanks" dxfId="513" priority="151">
      <formula>LEN(TRIM(D22))=0</formula>
    </cfRule>
  </conditionalFormatting>
  <conditionalFormatting sqref="F22 I22 L22 O22">
    <cfRule type="expression" dxfId="512" priority="150">
      <formula>ISNUMBER(F22)=FALSE</formula>
    </cfRule>
  </conditionalFormatting>
  <conditionalFormatting sqref="B22:C22">
    <cfRule type="containsBlanks" dxfId="511" priority="149">
      <formula>LEN(TRIM(B22))=0</formula>
    </cfRule>
  </conditionalFormatting>
  <conditionalFormatting sqref="T23">
    <cfRule type="containsText" dxfId="510" priority="148" operator="containsText" text="Error">
      <formula>NOT(ISERROR(SEARCH("Error",T23)))</formula>
    </cfRule>
  </conditionalFormatting>
  <conditionalFormatting sqref="D23:E23">
    <cfRule type="containsBlanks" dxfId="509" priority="147">
      <formula>LEN(TRIM(D23))=0</formula>
    </cfRule>
  </conditionalFormatting>
  <conditionalFormatting sqref="F23 I23 L23 O23">
    <cfRule type="expression" dxfId="508" priority="146">
      <formula>ISNUMBER(F23)=FALSE</formula>
    </cfRule>
  </conditionalFormatting>
  <conditionalFormatting sqref="B23:C23">
    <cfRule type="containsBlanks" dxfId="507" priority="145">
      <formula>LEN(TRIM(B23))=0</formula>
    </cfRule>
  </conditionalFormatting>
  <conditionalFormatting sqref="T24">
    <cfRule type="containsText" dxfId="506" priority="144" operator="containsText" text="Error">
      <formula>NOT(ISERROR(SEARCH("Error",T24)))</formula>
    </cfRule>
  </conditionalFormatting>
  <conditionalFormatting sqref="D24:E24">
    <cfRule type="containsBlanks" dxfId="505" priority="143">
      <formula>LEN(TRIM(D24))=0</formula>
    </cfRule>
  </conditionalFormatting>
  <conditionalFormatting sqref="F24 I24 L24 O24">
    <cfRule type="expression" dxfId="504" priority="142">
      <formula>ISNUMBER(F24)=FALSE</formula>
    </cfRule>
  </conditionalFormatting>
  <conditionalFormatting sqref="B24:C24">
    <cfRule type="containsBlanks" dxfId="503" priority="141">
      <formula>LEN(TRIM(B24))=0</formula>
    </cfRule>
  </conditionalFormatting>
  <conditionalFormatting sqref="T25">
    <cfRule type="containsText" dxfId="502" priority="140" operator="containsText" text="Error">
      <formula>NOT(ISERROR(SEARCH("Error",T25)))</formula>
    </cfRule>
  </conditionalFormatting>
  <conditionalFormatting sqref="D25:E25">
    <cfRule type="containsBlanks" dxfId="501" priority="139">
      <formula>LEN(TRIM(D25))=0</formula>
    </cfRule>
  </conditionalFormatting>
  <conditionalFormatting sqref="F25 I25 L25 O25">
    <cfRule type="expression" dxfId="500" priority="138">
      <formula>ISNUMBER(F25)=FALSE</formula>
    </cfRule>
  </conditionalFormatting>
  <conditionalFormatting sqref="B25:C25">
    <cfRule type="containsBlanks" dxfId="499" priority="137">
      <formula>LEN(TRIM(B25))=0</formula>
    </cfRule>
  </conditionalFormatting>
  <conditionalFormatting sqref="T26">
    <cfRule type="containsText" dxfId="498" priority="136" operator="containsText" text="Error">
      <formula>NOT(ISERROR(SEARCH("Error",T26)))</formula>
    </cfRule>
  </conditionalFormatting>
  <conditionalFormatting sqref="D26:E26">
    <cfRule type="containsBlanks" dxfId="497" priority="135">
      <formula>LEN(TRIM(D26))=0</formula>
    </cfRule>
  </conditionalFormatting>
  <conditionalFormatting sqref="F26 I26 L26 O26">
    <cfRule type="expression" dxfId="496" priority="134">
      <formula>ISNUMBER(F26)=FALSE</formula>
    </cfRule>
  </conditionalFormatting>
  <conditionalFormatting sqref="B26:C26">
    <cfRule type="containsBlanks" dxfId="495" priority="133">
      <formula>LEN(TRIM(B26))=0</formula>
    </cfRule>
  </conditionalFormatting>
  <conditionalFormatting sqref="T27">
    <cfRule type="containsText" dxfId="494" priority="132" operator="containsText" text="Error">
      <formula>NOT(ISERROR(SEARCH("Error",T27)))</formula>
    </cfRule>
  </conditionalFormatting>
  <conditionalFormatting sqref="D27:E27">
    <cfRule type="containsBlanks" dxfId="493" priority="131">
      <formula>LEN(TRIM(D27))=0</formula>
    </cfRule>
  </conditionalFormatting>
  <conditionalFormatting sqref="F27 I27 L27 O27">
    <cfRule type="expression" dxfId="492" priority="130">
      <formula>ISNUMBER(F27)=FALSE</formula>
    </cfRule>
  </conditionalFormatting>
  <conditionalFormatting sqref="B27:C27">
    <cfRule type="containsBlanks" dxfId="491" priority="129">
      <formula>LEN(TRIM(B27))=0</formula>
    </cfRule>
  </conditionalFormatting>
  <conditionalFormatting sqref="T28">
    <cfRule type="containsText" dxfId="490" priority="128" operator="containsText" text="Error">
      <formula>NOT(ISERROR(SEARCH("Error",T28)))</formula>
    </cfRule>
  </conditionalFormatting>
  <conditionalFormatting sqref="D28:E28">
    <cfRule type="containsBlanks" dxfId="489" priority="127">
      <formula>LEN(TRIM(D28))=0</formula>
    </cfRule>
  </conditionalFormatting>
  <conditionalFormatting sqref="F28 I28 L28 O28">
    <cfRule type="expression" dxfId="488" priority="126">
      <formula>ISNUMBER(F28)=FALSE</formula>
    </cfRule>
  </conditionalFormatting>
  <conditionalFormatting sqref="B28:C28">
    <cfRule type="containsBlanks" dxfId="487" priority="125">
      <formula>LEN(TRIM(B28))=0</formula>
    </cfRule>
  </conditionalFormatting>
  <conditionalFormatting sqref="T29">
    <cfRule type="containsText" dxfId="486" priority="124" operator="containsText" text="Error">
      <formula>NOT(ISERROR(SEARCH("Error",T29)))</formula>
    </cfRule>
  </conditionalFormatting>
  <conditionalFormatting sqref="D29:E29">
    <cfRule type="containsBlanks" dxfId="485" priority="123">
      <formula>LEN(TRIM(D29))=0</formula>
    </cfRule>
  </conditionalFormatting>
  <conditionalFormatting sqref="F29 I29 L29 O29">
    <cfRule type="expression" dxfId="484" priority="122">
      <formula>ISNUMBER(F29)=FALSE</formula>
    </cfRule>
  </conditionalFormatting>
  <conditionalFormatting sqref="B29:C29">
    <cfRule type="containsBlanks" dxfId="483" priority="121">
      <formula>LEN(TRIM(B29))=0</formula>
    </cfRule>
  </conditionalFormatting>
  <conditionalFormatting sqref="T30">
    <cfRule type="containsText" dxfId="482" priority="120" operator="containsText" text="Error">
      <formula>NOT(ISERROR(SEARCH("Error",T30)))</formula>
    </cfRule>
  </conditionalFormatting>
  <conditionalFormatting sqref="D30:E30">
    <cfRule type="containsBlanks" dxfId="481" priority="119">
      <formula>LEN(TRIM(D30))=0</formula>
    </cfRule>
  </conditionalFormatting>
  <conditionalFormatting sqref="F30 I30 L30 O30">
    <cfRule type="expression" dxfId="480" priority="118">
      <formula>ISNUMBER(F30)=FALSE</formula>
    </cfRule>
  </conditionalFormatting>
  <conditionalFormatting sqref="B30:C30">
    <cfRule type="containsBlanks" dxfId="479" priority="117">
      <formula>LEN(TRIM(B30))=0</formula>
    </cfRule>
  </conditionalFormatting>
  <conditionalFormatting sqref="T31">
    <cfRule type="containsText" dxfId="478" priority="116" operator="containsText" text="Error">
      <formula>NOT(ISERROR(SEARCH("Error",T31)))</formula>
    </cfRule>
  </conditionalFormatting>
  <conditionalFormatting sqref="D31:E31">
    <cfRule type="containsBlanks" dxfId="477" priority="115">
      <formula>LEN(TRIM(D31))=0</formula>
    </cfRule>
  </conditionalFormatting>
  <conditionalFormatting sqref="F31 I31 L31 O31">
    <cfRule type="expression" dxfId="476" priority="114">
      <formula>ISNUMBER(F31)=FALSE</formula>
    </cfRule>
  </conditionalFormatting>
  <conditionalFormatting sqref="B31:C31">
    <cfRule type="containsBlanks" dxfId="475" priority="113">
      <formula>LEN(TRIM(B31))=0</formula>
    </cfRule>
  </conditionalFormatting>
  <conditionalFormatting sqref="T32">
    <cfRule type="containsText" dxfId="474" priority="112" operator="containsText" text="Error">
      <formula>NOT(ISERROR(SEARCH("Error",T32)))</formula>
    </cfRule>
  </conditionalFormatting>
  <conditionalFormatting sqref="D32:E32">
    <cfRule type="containsBlanks" dxfId="473" priority="111">
      <formula>LEN(TRIM(D32))=0</formula>
    </cfRule>
  </conditionalFormatting>
  <conditionalFormatting sqref="F32 I32 L32 O32">
    <cfRule type="expression" dxfId="472" priority="110">
      <formula>ISNUMBER(F32)=FALSE</formula>
    </cfRule>
  </conditionalFormatting>
  <conditionalFormatting sqref="B32:C32">
    <cfRule type="containsBlanks" dxfId="471" priority="109">
      <formula>LEN(TRIM(B32))=0</formula>
    </cfRule>
  </conditionalFormatting>
  <conditionalFormatting sqref="T33">
    <cfRule type="containsText" dxfId="470" priority="108" operator="containsText" text="Error">
      <formula>NOT(ISERROR(SEARCH("Error",T33)))</formula>
    </cfRule>
  </conditionalFormatting>
  <conditionalFormatting sqref="D33:E33">
    <cfRule type="containsBlanks" dxfId="469" priority="107">
      <formula>LEN(TRIM(D33))=0</formula>
    </cfRule>
  </conditionalFormatting>
  <conditionalFormatting sqref="F33 I33 L33 O33">
    <cfRule type="expression" dxfId="468" priority="106">
      <formula>ISNUMBER(F33)=FALSE</formula>
    </cfRule>
  </conditionalFormatting>
  <conditionalFormatting sqref="B33:C33">
    <cfRule type="containsBlanks" dxfId="467" priority="105">
      <formula>LEN(TRIM(B33))=0</formula>
    </cfRule>
  </conditionalFormatting>
  <conditionalFormatting sqref="T34">
    <cfRule type="containsText" dxfId="466" priority="104" operator="containsText" text="Error">
      <formula>NOT(ISERROR(SEARCH("Error",T34)))</formula>
    </cfRule>
  </conditionalFormatting>
  <conditionalFormatting sqref="D34:E34">
    <cfRule type="containsBlanks" dxfId="465" priority="103">
      <formula>LEN(TRIM(D34))=0</formula>
    </cfRule>
  </conditionalFormatting>
  <conditionalFormatting sqref="F34 I34 L34 O34">
    <cfRule type="expression" dxfId="464" priority="102">
      <formula>ISNUMBER(F34)=FALSE</formula>
    </cfRule>
  </conditionalFormatting>
  <conditionalFormatting sqref="B34:C34">
    <cfRule type="containsBlanks" dxfId="463" priority="101">
      <formula>LEN(TRIM(B34))=0</formula>
    </cfRule>
  </conditionalFormatting>
  <conditionalFormatting sqref="T35">
    <cfRule type="containsText" dxfId="462" priority="100" operator="containsText" text="Error">
      <formula>NOT(ISERROR(SEARCH("Error",T35)))</formula>
    </cfRule>
  </conditionalFormatting>
  <conditionalFormatting sqref="D35:E35">
    <cfRule type="containsBlanks" dxfId="461" priority="99">
      <formula>LEN(TRIM(D35))=0</formula>
    </cfRule>
  </conditionalFormatting>
  <conditionalFormatting sqref="F35 I35 L35 O35">
    <cfRule type="expression" dxfId="460" priority="98">
      <formula>ISNUMBER(F35)=FALSE</formula>
    </cfRule>
  </conditionalFormatting>
  <conditionalFormatting sqref="B35:C35">
    <cfRule type="containsBlanks" dxfId="459" priority="97">
      <formula>LEN(TRIM(B35))=0</formula>
    </cfRule>
  </conditionalFormatting>
  <conditionalFormatting sqref="T36">
    <cfRule type="containsText" dxfId="458" priority="96" operator="containsText" text="Error">
      <formula>NOT(ISERROR(SEARCH("Error",T36)))</formula>
    </cfRule>
  </conditionalFormatting>
  <conditionalFormatting sqref="D36:E36">
    <cfRule type="containsBlanks" dxfId="457" priority="95">
      <formula>LEN(TRIM(D36))=0</formula>
    </cfRule>
  </conditionalFormatting>
  <conditionalFormatting sqref="F36 I36 L36 O36">
    <cfRule type="expression" dxfId="456" priority="94">
      <formula>ISNUMBER(F36)=FALSE</formula>
    </cfRule>
  </conditionalFormatting>
  <conditionalFormatting sqref="B36:C36">
    <cfRule type="containsBlanks" dxfId="455" priority="93">
      <formula>LEN(TRIM(B36))=0</formula>
    </cfRule>
  </conditionalFormatting>
  <conditionalFormatting sqref="T37">
    <cfRule type="containsText" dxfId="454" priority="84" operator="containsText" text="Error">
      <formula>NOT(ISERROR(SEARCH("Error",T37)))</formula>
    </cfRule>
  </conditionalFormatting>
  <conditionalFormatting sqref="D37:E37">
    <cfRule type="containsBlanks" dxfId="453" priority="83">
      <formula>LEN(TRIM(D37))=0</formula>
    </cfRule>
  </conditionalFormatting>
  <conditionalFormatting sqref="F37 I37 L37 O37">
    <cfRule type="expression" dxfId="452" priority="82">
      <formula>ISNUMBER(F37)=FALSE</formula>
    </cfRule>
  </conditionalFormatting>
  <conditionalFormatting sqref="B37:C37">
    <cfRule type="containsBlanks" dxfId="451" priority="81">
      <formula>LEN(TRIM(B37))=0</formula>
    </cfRule>
  </conditionalFormatting>
  <conditionalFormatting sqref="T38">
    <cfRule type="containsText" dxfId="450" priority="80" operator="containsText" text="Error">
      <formula>NOT(ISERROR(SEARCH("Error",T38)))</formula>
    </cfRule>
  </conditionalFormatting>
  <conditionalFormatting sqref="D38:E38">
    <cfRule type="containsBlanks" dxfId="449" priority="79">
      <formula>LEN(TRIM(D38))=0</formula>
    </cfRule>
  </conditionalFormatting>
  <conditionalFormatting sqref="F38 I38 L38 O38">
    <cfRule type="expression" dxfId="448" priority="78">
      <formula>ISNUMBER(F38)=FALSE</formula>
    </cfRule>
  </conditionalFormatting>
  <conditionalFormatting sqref="B38:C38">
    <cfRule type="containsBlanks" dxfId="447" priority="77">
      <formula>LEN(TRIM(B38))=0</formula>
    </cfRule>
  </conditionalFormatting>
  <conditionalFormatting sqref="T39">
    <cfRule type="containsText" dxfId="446" priority="76" operator="containsText" text="Error">
      <formula>NOT(ISERROR(SEARCH("Error",T39)))</formula>
    </cfRule>
  </conditionalFormatting>
  <conditionalFormatting sqref="D39:E39">
    <cfRule type="containsBlanks" dxfId="445" priority="75">
      <formula>LEN(TRIM(D39))=0</formula>
    </cfRule>
  </conditionalFormatting>
  <conditionalFormatting sqref="F39 I39 L39 O39">
    <cfRule type="expression" dxfId="444" priority="74">
      <formula>ISNUMBER(F39)=FALSE</formula>
    </cfRule>
  </conditionalFormatting>
  <conditionalFormatting sqref="B39:C39">
    <cfRule type="containsBlanks" dxfId="443" priority="73">
      <formula>LEN(TRIM(B39))=0</formula>
    </cfRule>
  </conditionalFormatting>
  <conditionalFormatting sqref="T40">
    <cfRule type="containsText" dxfId="442" priority="72" operator="containsText" text="Error">
      <formula>NOT(ISERROR(SEARCH("Error",T40)))</formula>
    </cfRule>
  </conditionalFormatting>
  <conditionalFormatting sqref="D40:E40">
    <cfRule type="containsBlanks" dxfId="441" priority="71">
      <formula>LEN(TRIM(D40))=0</formula>
    </cfRule>
  </conditionalFormatting>
  <conditionalFormatting sqref="F40 I40 L40 O40">
    <cfRule type="expression" dxfId="440" priority="70">
      <formula>ISNUMBER(F40)=FALSE</formula>
    </cfRule>
  </conditionalFormatting>
  <conditionalFormatting sqref="B40:C40">
    <cfRule type="containsBlanks" dxfId="439" priority="69">
      <formula>LEN(TRIM(B40))=0</formula>
    </cfRule>
  </conditionalFormatting>
  <conditionalFormatting sqref="T41">
    <cfRule type="containsText" dxfId="438" priority="68" operator="containsText" text="Error">
      <formula>NOT(ISERROR(SEARCH("Error",T41)))</formula>
    </cfRule>
  </conditionalFormatting>
  <conditionalFormatting sqref="D41:E41">
    <cfRule type="containsBlanks" dxfId="437" priority="67">
      <formula>LEN(TRIM(D41))=0</formula>
    </cfRule>
  </conditionalFormatting>
  <conditionalFormatting sqref="F41 I41 L41 O41">
    <cfRule type="expression" dxfId="436" priority="66">
      <formula>ISNUMBER(F41)=FALSE</formula>
    </cfRule>
  </conditionalFormatting>
  <conditionalFormatting sqref="B41:C41">
    <cfRule type="containsBlanks" dxfId="435" priority="65">
      <formula>LEN(TRIM(B41))=0</formula>
    </cfRule>
  </conditionalFormatting>
  <conditionalFormatting sqref="T42">
    <cfRule type="containsText" dxfId="434" priority="64" operator="containsText" text="Error">
      <formula>NOT(ISERROR(SEARCH("Error",T42)))</formula>
    </cfRule>
  </conditionalFormatting>
  <conditionalFormatting sqref="D42:E42">
    <cfRule type="containsBlanks" dxfId="433" priority="63">
      <formula>LEN(TRIM(D42))=0</formula>
    </cfRule>
  </conditionalFormatting>
  <conditionalFormatting sqref="F42 I42 L42 O42">
    <cfRule type="expression" dxfId="432" priority="62">
      <formula>ISNUMBER(F42)=FALSE</formula>
    </cfRule>
  </conditionalFormatting>
  <conditionalFormatting sqref="B42:C42">
    <cfRule type="containsBlanks" dxfId="431" priority="61">
      <formula>LEN(TRIM(B42))=0</formula>
    </cfRule>
  </conditionalFormatting>
  <conditionalFormatting sqref="T44">
    <cfRule type="containsText" dxfId="430" priority="60" operator="containsText" text="Error">
      <formula>NOT(ISERROR(SEARCH("Error",T44)))</formula>
    </cfRule>
  </conditionalFormatting>
  <conditionalFormatting sqref="D44:E44">
    <cfRule type="containsBlanks" dxfId="429" priority="59">
      <formula>LEN(TRIM(D44))=0</formula>
    </cfRule>
  </conditionalFormatting>
  <conditionalFormatting sqref="F44 I44 L44 O44">
    <cfRule type="expression" dxfId="428" priority="58">
      <formula>ISNUMBER(F44)=FALSE</formula>
    </cfRule>
  </conditionalFormatting>
  <conditionalFormatting sqref="B44:C44">
    <cfRule type="containsBlanks" dxfId="427" priority="57">
      <formula>LEN(TRIM(B44))=0</formula>
    </cfRule>
  </conditionalFormatting>
  <conditionalFormatting sqref="T46">
    <cfRule type="containsText" dxfId="426" priority="56" operator="containsText" text="Error">
      <formula>NOT(ISERROR(SEARCH("Error",T46)))</formula>
    </cfRule>
  </conditionalFormatting>
  <conditionalFormatting sqref="D46:E46">
    <cfRule type="containsBlanks" dxfId="425" priority="55">
      <formula>LEN(TRIM(D46))=0</formula>
    </cfRule>
  </conditionalFormatting>
  <conditionalFormatting sqref="F46 I46 L46 O46">
    <cfRule type="expression" dxfId="424" priority="54">
      <formula>ISNUMBER(F46)=FALSE</formula>
    </cfRule>
  </conditionalFormatting>
  <conditionalFormatting sqref="B46:C46">
    <cfRule type="containsBlanks" dxfId="423" priority="53">
      <formula>LEN(TRIM(B46))=0</formula>
    </cfRule>
  </conditionalFormatting>
  <conditionalFormatting sqref="T45">
    <cfRule type="containsText" dxfId="422" priority="52" operator="containsText" text="Error">
      <formula>NOT(ISERROR(SEARCH("Error",T45)))</formula>
    </cfRule>
  </conditionalFormatting>
  <conditionalFormatting sqref="D45:E45">
    <cfRule type="containsBlanks" dxfId="421" priority="51">
      <formula>LEN(TRIM(D45))=0</formula>
    </cfRule>
  </conditionalFormatting>
  <conditionalFormatting sqref="F45 I45 L45 O45">
    <cfRule type="expression" dxfId="420" priority="50">
      <formula>ISNUMBER(F45)=FALSE</formula>
    </cfRule>
  </conditionalFormatting>
  <conditionalFormatting sqref="B45:C45">
    <cfRule type="containsBlanks" dxfId="419" priority="49">
      <formula>LEN(TRIM(B45))=0</formula>
    </cfRule>
  </conditionalFormatting>
  <conditionalFormatting sqref="T47">
    <cfRule type="containsText" dxfId="418" priority="48" operator="containsText" text="Error">
      <formula>NOT(ISERROR(SEARCH("Error",T47)))</formula>
    </cfRule>
  </conditionalFormatting>
  <conditionalFormatting sqref="D47:E47">
    <cfRule type="containsBlanks" dxfId="417" priority="47">
      <formula>LEN(TRIM(D47))=0</formula>
    </cfRule>
  </conditionalFormatting>
  <conditionalFormatting sqref="F47 I47 L47 O47">
    <cfRule type="expression" dxfId="416" priority="46">
      <formula>ISNUMBER(F47)=FALSE</formula>
    </cfRule>
  </conditionalFormatting>
  <conditionalFormatting sqref="B47:C47">
    <cfRule type="containsBlanks" dxfId="415" priority="45">
      <formula>LEN(TRIM(B47))=0</formula>
    </cfRule>
  </conditionalFormatting>
  <conditionalFormatting sqref="T48">
    <cfRule type="containsText" dxfId="414" priority="44" operator="containsText" text="Error">
      <formula>NOT(ISERROR(SEARCH("Error",T48)))</formula>
    </cfRule>
  </conditionalFormatting>
  <conditionalFormatting sqref="D48:E48">
    <cfRule type="containsBlanks" dxfId="413" priority="43">
      <formula>LEN(TRIM(D48))=0</formula>
    </cfRule>
  </conditionalFormatting>
  <conditionalFormatting sqref="F48 I48 L48 O48">
    <cfRule type="expression" dxfId="412" priority="42">
      <formula>ISNUMBER(F48)=FALSE</formula>
    </cfRule>
  </conditionalFormatting>
  <conditionalFormatting sqref="B48:C48">
    <cfRule type="containsBlanks" dxfId="411" priority="41">
      <formula>LEN(TRIM(B48))=0</formula>
    </cfRule>
  </conditionalFormatting>
  <conditionalFormatting sqref="T49">
    <cfRule type="containsText" dxfId="410" priority="40" operator="containsText" text="Error">
      <formula>NOT(ISERROR(SEARCH("Error",T49)))</formula>
    </cfRule>
  </conditionalFormatting>
  <conditionalFormatting sqref="D49:E49">
    <cfRule type="containsBlanks" dxfId="409" priority="39">
      <formula>LEN(TRIM(D49))=0</formula>
    </cfRule>
  </conditionalFormatting>
  <conditionalFormatting sqref="F49 I49 L49 O49">
    <cfRule type="expression" dxfId="408" priority="38">
      <formula>ISNUMBER(F49)=FALSE</formula>
    </cfRule>
  </conditionalFormatting>
  <conditionalFormatting sqref="B49:C49">
    <cfRule type="containsBlanks" dxfId="407" priority="37">
      <formula>LEN(TRIM(B49))=0</formula>
    </cfRule>
  </conditionalFormatting>
  <conditionalFormatting sqref="T50">
    <cfRule type="containsText" dxfId="406" priority="36" operator="containsText" text="Error">
      <formula>NOT(ISERROR(SEARCH("Error",T50)))</formula>
    </cfRule>
  </conditionalFormatting>
  <conditionalFormatting sqref="D50:E50">
    <cfRule type="containsBlanks" dxfId="405" priority="35">
      <formula>LEN(TRIM(D50))=0</formula>
    </cfRule>
  </conditionalFormatting>
  <conditionalFormatting sqref="F50 I50 L50 O50">
    <cfRule type="expression" dxfId="404" priority="34">
      <formula>ISNUMBER(F50)=FALSE</formula>
    </cfRule>
  </conditionalFormatting>
  <conditionalFormatting sqref="B50:C50">
    <cfRule type="containsBlanks" dxfId="403" priority="33">
      <formula>LEN(TRIM(B50))=0</formula>
    </cfRule>
  </conditionalFormatting>
  <conditionalFormatting sqref="T51">
    <cfRule type="containsText" dxfId="402" priority="32" operator="containsText" text="Error">
      <formula>NOT(ISERROR(SEARCH("Error",T51)))</formula>
    </cfRule>
  </conditionalFormatting>
  <conditionalFormatting sqref="D51:E51">
    <cfRule type="containsBlanks" dxfId="401" priority="31">
      <formula>LEN(TRIM(D51))=0</formula>
    </cfRule>
  </conditionalFormatting>
  <conditionalFormatting sqref="F51 I51 L51 O51">
    <cfRule type="expression" dxfId="400" priority="30">
      <formula>ISNUMBER(F51)=FALSE</formula>
    </cfRule>
  </conditionalFormatting>
  <conditionalFormatting sqref="B51:C51">
    <cfRule type="containsBlanks" dxfId="399" priority="29">
      <formula>LEN(TRIM(B51))=0</formula>
    </cfRule>
  </conditionalFormatting>
  <conditionalFormatting sqref="T52">
    <cfRule type="containsText" dxfId="398" priority="28" operator="containsText" text="Error">
      <formula>NOT(ISERROR(SEARCH("Error",T52)))</formula>
    </cfRule>
  </conditionalFormatting>
  <conditionalFormatting sqref="D52:E52">
    <cfRule type="containsBlanks" dxfId="397" priority="27">
      <formula>LEN(TRIM(D52))=0</formula>
    </cfRule>
  </conditionalFormatting>
  <conditionalFormatting sqref="F52 I52 L52 O52">
    <cfRule type="expression" dxfId="396" priority="26">
      <formula>ISNUMBER(F52)=FALSE</formula>
    </cfRule>
  </conditionalFormatting>
  <conditionalFormatting sqref="B52:C52">
    <cfRule type="containsBlanks" dxfId="395" priority="25">
      <formula>LEN(TRIM(B52))=0</formula>
    </cfRule>
  </conditionalFormatting>
  <conditionalFormatting sqref="T53">
    <cfRule type="containsText" dxfId="394" priority="24" operator="containsText" text="Error">
      <formula>NOT(ISERROR(SEARCH("Error",T53)))</formula>
    </cfRule>
  </conditionalFormatting>
  <conditionalFormatting sqref="D53:E53">
    <cfRule type="containsBlanks" dxfId="393" priority="23">
      <formula>LEN(TRIM(D53))=0</formula>
    </cfRule>
  </conditionalFormatting>
  <conditionalFormatting sqref="F53 I53 L53 O53">
    <cfRule type="expression" dxfId="392" priority="22">
      <formula>ISNUMBER(F53)=FALSE</formula>
    </cfRule>
  </conditionalFormatting>
  <conditionalFormatting sqref="B53:C53">
    <cfRule type="containsBlanks" dxfId="391" priority="21">
      <formula>LEN(TRIM(B53))=0</formula>
    </cfRule>
  </conditionalFormatting>
  <conditionalFormatting sqref="T54">
    <cfRule type="containsText" dxfId="390" priority="20" operator="containsText" text="Error">
      <formula>NOT(ISERROR(SEARCH("Error",T54)))</formula>
    </cfRule>
  </conditionalFormatting>
  <conditionalFormatting sqref="D54:E54">
    <cfRule type="containsBlanks" dxfId="389" priority="19">
      <formula>LEN(TRIM(D54))=0</formula>
    </cfRule>
  </conditionalFormatting>
  <conditionalFormatting sqref="F54 I54 L54 O54">
    <cfRule type="expression" dxfId="388" priority="18">
      <formula>ISNUMBER(F54)=FALSE</formula>
    </cfRule>
  </conditionalFormatting>
  <conditionalFormatting sqref="B54:C54">
    <cfRule type="containsBlanks" dxfId="387" priority="17">
      <formula>LEN(TRIM(B54))=0</formula>
    </cfRule>
  </conditionalFormatting>
  <conditionalFormatting sqref="T55">
    <cfRule type="containsText" dxfId="386" priority="16" operator="containsText" text="Error">
      <formula>NOT(ISERROR(SEARCH("Error",T55)))</formula>
    </cfRule>
  </conditionalFormatting>
  <conditionalFormatting sqref="D55:E55">
    <cfRule type="containsBlanks" dxfId="385" priority="15">
      <formula>LEN(TRIM(D55))=0</formula>
    </cfRule>
  </conditionalFormatting>
  <conditionalFormatting sqref="F55 I55 L55 O55">
    <cfRule type="expression" dxfId="384" priority="14">
      <formula>ISNUMBER(F55)=FALSE</formula>
    </cfRule>
  </conditionalFormatting>
  <conditionalFormatting sqref="B55:C55">
    <cfRule type="containsBlanks" dxfId="383" priority="13">
      <formula>LEN(TRIM(B55))=0</formula>
    </cfRule>
  </conditionalFormatting>
  <conditionalFormatting sqref="T43">
    <cfRule type="containsText" dxfId="382" priority="4" operator="containsText" text="Error">
      <formula>NOT(ISERROR(SEARCH("Error",T43)))</formula>
    </cfRule>
  </conditionalFormatting>
  <conditionalFormatting sqref="D43:E43">
    <cfRule type="containsBlanks" dxfId="381" priority="3">
      <formula>LEN(TRIM(D43))=0</formula>
    </cfRule>
  </conditionalFormatting>
  <conditionalFormatting sqref="F43 I43 L43 O43">
    <cfRule type="expression" dxfId="380" priority="2">
      <formula>ISNUMBER(F43)=FALSE</formula>
    </cfRule>
  </conditionalFormatting>
  <conditionalFormatting sqref="B43:C43">
    <cfRule type="containsBlanks" dxfId="379" priority="1">
      <formula>LEN(TRIM(B43))=0</formula>
    </cfRule>
  </conditionalFormatting>
  <dataValidations xWindow="409" yWindow="799" count="4">
    <dataValidation allowBlank="1" showInputMessage="1" errorTitle="Warning: Max Ceilings exceeded" error="Please be aware that this exceed the &quot;Ceilings&quot; for the maximum amounts for staff cost by country" sqref="J13:J55 P13:P55 G13:G55 M13:M55"/>
    <dataValidation type="custom" allowBlank="1" showInputMessage="1" showErrorMessage="1" error="Format error (1 decimal only)" prompt="Please encode number of days - 1 decimal only" sqref="I13:I55 O13:O55 L13:L55 F13:F55">
      <formula1>F13=INT(F13*10)/10</formula1>
    </dataValidation>
    <dataValidation type="list" allowBlank="1" showInputMessage="1" showErrorMessage="1" error="Click arrow to select Work Package" prompt="Click arrow to select Work Package" sqref="B13:B55">
      <formula1>WorkPackage</formula1>
    </dataValidation>
    <dataValidation type="list" allowBlank="1" showInputMessage="1" showErrorMessage="1" error="Click arrow to select Partner N°" prompt="Click arrow to select Partner N°" sqref="C13:C5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39"/>
  <sheetViews>
    <sheetView showGridLines="0" zoomScale="61" zoomScaleNormal="70" zoomScaleSheetLayoutView="55" workbookViewId="0">
      <pane ySplit="13" topLeftCell="A14" activePane="bottomLeft" state="frozen"/>
      <selection pane="bottomLeft" activeCell="K15" sqref="K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0" t="s">
        <v>183</v>
      </c>
      <c r="C2" s="160"/>
      <c r="D2" s="160"/>
      <c r="E2" s="160"/>
      <c r="F2" s="160"/>
      <c r="G2" s="160"/>
      <c r="H2" s="160"/>
      <c r="I2" s="160"/>
      <c r="J2" s="160"/>
      <c r="K2" s="160"/>
      <c r="L2" s="160"/>
      <c r="M2" s="160"/>
      <c r="N2" s="160"/>
      <c r="O2" s="160"/>
      <c r="P2" s="160"/>
      <c r="Q2" s="160"/>
      <c r="R2" s="160"/>
    </row>
    <row r="3" spans="2:18" s="24" customFormat="1" ht="8.1" customHeight="1" x14ac:dyDescent="0.3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67" t="s">
        <v>302</v>
      </c>
      <c r="C4" s="168"/>
      <c r="D4" s="55">
        <f>SUMIF(G:G,"Student",O:O)</f>
        <v>0</v>
      </c>
      <c r="E4" s="182">
        <f>D4+D5</f>
        <v>0</v>
      </c>
      <c r="F4" s="165">
        <f>SUMIFS(H:H,G:G,"Student",R:R,"&lt;&gt;Error")</f>
        <v>0</v>
      </c>
      <c r="G4" s="53"/>
      <c r="L4" s="157" t="s">
        <v>345</v>
      </c>
      <c r="M4" s="158"/>
      <c r="N4" s="159"/>
      <c r="O4" s="103"/>
      <c r="P4" s="103"/>
      <c r="Q4" s="103"/>
      <c r="R4" s="84"/>
    </row>
    <row r="5" spans="2:18" s="24" customFormat="1" ht="20.100000000000001" customHeight="1" x14ac:dyDescent="0.35">
      <c r="B5" s="155" t="s">
        <v>303</v>
      </c>
      <c r="C5" s="156"/>
      <c r="D5" s="56">
        <f>SUMIF(G:G,"Student",P:P)</f>
        <v>0</v>
      </c>
      <c r="E5" s="183"/>
      <c r="F5" s="166"/>
      <c r="G5" s="53"/>
      <c r="H5" s="54"/>
      <c r="I5" s="54"/>
      <c r="J5" s="54"/>
      <c r="L5" s="169" t="s">
        <v>354</v>
      </c>
      <c r="M5" s="170"/>
      <c r="N5" s="171"/>
      <c r="O5" s="54"/>
      <c r="P5" s="54"/>
      <c r="Q5" s="54"/>
      <c r="R5" s="84"/>
    </row>
    <row r="6" spans="2:18" s="24" customFormat="1" ht="20.100000000000001" customHeight="1" x14ac:dyDescent="0.35">
      <c r="B6" s="167" t="s">
        <v>304</v>
      </c>
      <c r="C6" s="168"/>
      <c r="D6" s="55">
        <f>SUMIF(G:G,"Staff",O:O)</f>
        <v>0</v>
      </c>
      <c r="E6" s="180">
        <f>D6+D7</f>
        <v>202700</v>
      </c>
      <c r="F6" s="163">
        <f>SUMIFS(H:H,G:G,"Staff",R:R,"&lt;&gt;Error")</f>
        <v>114</v>
      </c>
      <c r="G6" s="53"/>
      <c r="L6" s="172"/>
      <c r="M6" s="173"/>
      <c r="N6" s="174"/>
      <c r="R6" s="84"/>
    </row>
    <row r="7" spans="2:18" s="24" customFormat="1" ht="20.100000000000001" customHeight="1" x14ac:dyDescent="0.35">
      <c r="B7" s="155" t="s">
        <v>305</v>
      </c>
      <c r="C7" s="156"/>
      <c r="D7" s="56">
        <f>SUMIF(G:G,"Staff",P:P)</f>
        <v>202700</v>
      </c>
      <c r="E7" s="181"/>
      <c r="F7" s="164"/>
      <c r="G7" s="53"/>
      <c r="L7" s="172"/>
      <c r="M7" s="173"/>
      <c r="N7" s="174"/>
      <c r="R7" s="84"/>
    </row>
    <row r="8" spans="2:18" s="24" customFormat="1" ht="20.100000000000001" customHeight="1" x14ac:dyDescent="0.35">
      <c r="B8" s="167" t="s">
        <v>306</v>
      </c>
      <c r="C8" s="168"/>
      <c r="D8" s="55">
        <f>SUM(O:O)</f>
        <v>0</v>
      </c>
      <c r="E8" s="178">
        <f>D8+D9</f>
        <v>202700</v>
      </c>
      <c r="F8" s="161">
        <f>F4+F6</f>
        <v>114</v>
      </c>
      <c r="G8" s="53"/>
      <c r="L8" s="172"/>
      <c r="M8" s="173"/>
      <c r="N8" s="174"/>
      <c r="R8" s="84"/>
    </row>
    <row r="9" spans="2:18" s="24" customFormat="1" ht="20.100000000000001" customHeight="1" x14ac:dyDescent="0.35">
      <c r="B9" s="155" t="s">
        <v>307</v>
      </c>
      <c r="C9" s="156"/>
      <c r="D9" s="56">
        <f>SUM(P:P)</f>
        <v>202700</v>
      </c>
      <c r="E9" s="179"/>
      <c r="F9" s="162"/>
      <c r="G9" s="53"/>
      <c r="L9" s="172"/>
      <c r="M9" s="173"/>
      <c r="N9" s="174"/>
      <c r="R9" s="84"/>
    </row>
    <row r="10" spans="2:18" s="24" customFormat="1" x14ac:dyDescent="0.35">
      <c r="B10" s="155" t="s">
        <v>344</v>
      </c>
      <c r="C10" s="156"/>
      <c r="D10" s="56">
        <f>SUM(N:N)</f>
        <v>87200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34" si="2">IF(AND(M13&gt;0,L13&lt;&gt;""),IF(M13&gt;(ROUND( (ROUND(ROUND(H13,0)*(VLOOKUP(J13,TravelCosts,2,FALSE)),2))/0.65,2)),ROUND(M13*0.8,2),"covered by unit cost"),0)</f>
        <v>0</v>
      </c>
      <c r="O13" s="41">
        <f t="shared" ref="O13:O34" si="3">IF(OR(AND(L13&lt;&gt;"",M13&gt;0,ISNUMBER(N13)),R13="Error"),0,ROUND(ROUND(H13,0)*(VLOOKUP(J13,TravelCosts,2,FALSE)),2))</f>
        <v>0</v>
      </c>
      <c r="P13" s="41">
        <f t="shared" ref="P13:P34" si="4">IF(R13="Error",0,IF(AND(G13="Staff",K13&gt;0,K13&lt;15),(120*K13)*H13,IF(AND(G13="Staff",K13&gt;14,K13&lt;61),(1680+((K13-14)*70))*H13,IF(AND(G13="Staff",K13&gt;60,K13&lt;91),(4900+((K13-60)*50))*H13,IF(AND(G13="Student",K13&gt;0,K13&lt;15),(55*K13)*H13,IF(AND(G13="Student",K13&gt;14,K13&lt;91),(770+((K13-14)*40))*H13,0))))))</f>
        <v>0</v>
      </c>
      <c r="Q13" s="42">
        <f t="shared" ref="Q13:Q34" si="5">IFERROR(N13+O13+P13,O13+P13)</f>
        <v>0</v>
      </c>
      <c r="R13" s="104" t="str">
        <f t="shared" ref="R13:R34"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172</v>
      </c>
      <c r="C14" s="23" t="s">
        <v>9</v>
      </c>
      <c r="D14" s="46" t="str">
        <f t="shared" si="0"/>
        <v>SheTech team, DUNP</v>
      </c>
      <c r="E14" s="46" t="str">
        <f t="shared" si="1"/>
        <v>Serbia</v>
      </c>
      <c r="F14" s="22" t="s">
        <v>378</v>
      </c>
      <c r="G14" s="85" t="s">
        <v>208</v>
      </c>
      <c r="H14" s="86">
        <v>5</v>
      </c>
      <c r="I14" s="22" t="s">
        <v>44</v>
      </c>
      <c r="J14" s="18" t="s">
        <v>150</v>
      </c>
      <c r="K14" s="86">
        <v>15</v>
      </c>
      <c r="L14" s="105" t="s">
        <v>347</v>
      </c>
      <c r="M14" s="106">
        <v>6000</v>
      </c>
      <c r="N14" s="41">
        <f t="shared" si="2"/>
        <v>4800</v>
      </c>
      <c r="O14" s="41">
        <f t="shared" si="3"/>
        <v>0</v>
      </c>
      <c r="P14" s="41">
        <f t="shared" si="4"/>
        <v>8750</v>
      </c>
      <c r="Q14" s="42">
        <f t="shared" si="5"/>
        <v>13550</v>
      </c>
      <c r="R14" s="104" t="str">
        <f t="shared" si="6"/>
        <v/>
      </c>
    </row>
    <row r="15" spans="2:18" s="38" customFormat="1" x14ac:dyDescent="0.3">
      <c r="B15" s="18" t="s">
        <v>172</v>
      </c>
      <c r="C15" s="23" t="s">
        <v>9</v>
      </c>
      <c r="D15" s="46" t="str">
        <f t="shared" ref="D15:D34" si="7">IFERROR(IF(VLOOKUP(C15,PartnerN°Ref,2,FALSE)=0,"",VLOOKUP(C15,PartnerN°Ref,2,FALSE)),"")</f>
        <v>SheTech team, DUNP</v>
      </c>
      <c r="E15" s="46" t="str">
        <f t="shared" ref="E15:E34" si="8">IFERROR(IF(OR(VLOOKUP(C15,PartnerN°Ref,4,FALSE)="Country not found",VLOOKUP(C15,PartnerN°Ref,3,FALSE)=0),"",VLOOKUP(C15,PartnerN°Ref,3,FALSE)),"")</f>
        <v>Serbia</v>
      </c>
      <c r="F15" s="22" t="s">
        <v>378</v>
      </c>
      <c r="G15" s="85" t="s">
        <v>208</v>
      </c>
      <c r="H15" s="86">
        <v>5</v>
      </c>
      <c r="I15" s="22" t="s">
        <v>46</v>
      </c>
      <c r="J15" s="18" t="s">
        <v>149</v>
      </c>
      <c r="K15" s="86">
        <v>15</v>
      </c>
      <c r="L15" s="105" t="s">
        <v>347</v>
      </c>
      <c r="M15" s="106">
        <v>5000</v>
      </c>
      <c r="N15" s="41">
        <f t="shared" si="2"/>
        <v>4000</v>
      </c>
      <c r="O15" s="41">
        <f t="shared" si="3"/>
        <v>0</v>
      </c>
      <c r="P15" s="41">
        <f t="shared" si="4"/>
        <v>8750</v>
      </c>
      <c r="Q15" s="42">
        <f t="shared" si="5"/>
        <v>12750</v>
      </c>
      <c r="R15" s="104" t="str">
        <f t="shared" si="6"/>
        <v/>
      </c>
    </row>
    <row r="16" spans="2:18" s="38" customFormat="1" x14ac:dyDescent="0.3">
      <c r="B16" s="18" t="s">
        <v>172</v>
      </c>
      <c r="C16" s="23" t="s">
        <v>9</v>
      </c>
      <c r="D16" s="46" t="str">
        <f t="shared" si="7"/>
        <v>SheTech team, DUNP</v>
      </c>
      <c r="E16" s="46" t="str">
        <f t="shared" si="8"/>
        <v>Serbia</v>
      </c>
      <c r="F16" s="22" t="s">
        <v>378</v>
      </c>
      <c r="G16" s="85" t="s">
        <v>208</v>
      </c>
      <c r="H16" s="86">
        <v>5</v>
      </c>
      <c r="I16" s="22" t="s">
        <v>90</v>
      </c>
      <c r="J16" s="18" t="s">
        <v>149</v>
      </c>
      <c r="K16" s="86">
        <v>10</v>
      </c>
      <c r="L16" s="105" t="s">
        <v>347</v>
      </c>
      <c r="M16" s="106">
        <v>5000</v>
      </c>
      <c r="N16" s="41">
        <f t="shared" si="2"/>
        <v>4000</v>
      </c>
      <c r="O16" s="41">
        <f t="shared" si="3"/>
        <v>0</v>
      </c>
      <c r="P16" s="41">
        <f t="shared" si="4"/>
        <v>6000</v>
      </c>
      <c r="Q16" s="42">
        <f t="shared" si="5"/>
        <v>10000</v>
      </c>
      <c r="R16" s="104" t="str">
        <f t="shared" si="6"/>
        <v/>
      </c>
    </row>
    <row r="17" spans="2:18" s="38" customFormat="1" x14ac:dyDescent="0.3">
      <c r="B17" s="18" t="s">
        <v>172</v>
      </c>
      <c r="C17" s="23" t="s">
        <v>9</v>
      </c>
      <c r="D17" s="46" t="str">
        <f t="shared" si="7"/>
        <v>SheTech team, DUNP</v>
      </c>
      <c r="E17" s="46" t="str">
        <f t="shared" si="8"/>
        <v>Serbia</v>
      </c>
      <c r="F17" s="22" t="s">
        <v>378</v>
      </c>
      <c r="G17" s="85" t="s">
        <v>208</v>
      </c>
      <c r="H17" s="86">
        <v>5</v>
      </c>
      <c r="I17" s="22" t="s">
        <v>36</v>
      </c>
      <c r="J17" s="18" t="s">
        <v>150</v>
      </c>
      <c r="K17" s="86">
        <v>10</v>
      </c>
      <c r="L17" s="105" t="s">
        <v>347</v>
      </c>
      <c r="M17" s="106">
        <v>6000</v>
      </c>
      <c r="N17" s="41">
        <f t="shared" si="2"/>
        <v>4800</v>
      </c>
      <c r="O17" s="41">
        <f t="shared" si="3"/>
        <v>0</v>
      </c>
      <c r="P17" s="41">
        <f t="shared" si="4"/>
        <v>6000</v>
      </c>
      <c r="Q17" s="42">
        <f t="shared" si="5"/>
        <v>10800</v>
      </c>
      <c r="R17" s="104" t="str">
        <f t="shared" si="6"/>
        <v/>
      </c>
    </row>
    <row r="18" spans="2:18" s="38" customFormat="1" x14ac:dyDescent="0.3">
      <c r="B18" s="18" t="s">
        <v>172</v>
      </c>
      <c r="C18" s="23" t="s">
        <v>9</v>
      </c>
      <c r="D18" s="46" t="str">
        <f t="shared" si="7"/>
        <v>SheTech team, DUNP</v>
      </c>
      <c r="E18" s="46" t="str">
        <f t="shared" si="8"/>
        <v>Serbia</v>
      </c>
      <c r="F18" s="22" t="s">
        <v>378</v>
      </c>
      <c r="G18" s="85" t="s">
        <v>208</v>
      </c>
      <c r="H18" s="86">
        <v>5</v>
      </c>
      <c r="I18" s="22" t="s">
        <v>6</v>
      </c>
      <c r="J18" s="18" t="s">
        <v>149</v>
      </c>
      <c r="K18" s="86">
        <v>10</v>
      </c>
      <c r="L18" s="105" t="s">
        <v>347</v>
      </c>
      <c r="M18" s="106">
        <v>5000</v>
      </c>
      <c r="N18" s="41">
        <f t="shared" si="2"/>
        <v>4000</v>
      </c>
      <c r="O18" s="41">
        <f t="shared" si="3"/>
        <v>0</v>
      </c>
      <c r="P18" s="41">
        <f t="shared" si="4"/>
        <v>6000</v>
      </c>
      <c r="Q18" s="42">
        <f t="shared" si="5"/>
        <v>10000</v>
      </c>
      <c r="R18" s="104" t="str">
        <f t="shared" si="6"/>
        <v/>
      </c>
    </row>
    <row r="19" spans="2:18" s="38" customFormat="1" x14ac:dyDescent="0.3">
      <c r="B19" s="18" t="s">
        <v>172</v>
      </c>
      <c r="C19" s="23" t="s">
        <v>9</v>
      </c>
      <c r="D19" s="46" t="str">
        <f t="shared" si="7"/>
        <v>SheTech team, DUNP</v>
      </c>
      <c r="E19" s="46" t="str">
        <f t="shared" si="8"/>
        <v>Serbia</v>
      </c>
      <c r="F19" s="22" t="s">
        <v>378</v>
      </c>
      <c r="G19" s="85" t="s">
        <v>379</v>
      </c>
      <c r="H19" s="86">
        <v>8</v>
      </c>
      <c r="I19" s="22" t="s">
        <v>44</v>
      </c>
      <c r="J19" s="18" t="s">
        <v>150</v>
      </c>
      <c r="K19" s="86">
        <v>15</v>
      </c>
      <c r="L19" s="105" t="s">
        <v>347</v>
      </c>
      <c r="M19" s="106">
        <v>6000</v>
      </c>
      <c r="N19" s="41">
        <f t="shared" si="2"/>
        <v>4800</v>
      </c>
      <c r="O19" s="41">
        <f t="shared" si="3"/>
        <v>0</v>
      </c>
      <c r="P19" s="41">
        <f t="shared" si="4"/>
        <v>14000</v>
      </c>
      <c r="Q19" s="42">
        <f t="shared" si="5"/>
        <v>18800</v>
      </c>
      <c r="R19" s="104" t="str">
        <f t="shared" si="6"/>
        <v/>
      </c>
    </row>
    <row r="20" spans="2:18" s="38" customFormat="1" x14ac:dyDescent="0.3">
      <c r="B20" s="18" t="s">
        <v>172</v>
      </c>
      <c r="C20" s="23" t="s">
        <v>9</v>
      </c>
      <c r="D20" s="46" t="str">
        <f t="shared" si="7"/>
        <v>SheTech team, DUNP</v>
      </c>
      <c r="E20" s="46" t="str">
        <f t="shared" si="8"/>
        <v>Serbia</v>
      </c>
      <c r="F20" s="22" t="s">
        <v>378</v>
      </c>
      <c r="G20" s="85" t="s">
        <v>208</v>
      </c>
      <c r="H20" s="86">
        <v>8</v>
      </c>
      <c r="I20" s="22" t="s">
        <v>46</v>
      </c>
      <c r="J20" s="18" t="s">
        <v>149</v>
      </c>
      <c r="K20" s="86">
        <v>15</v>
      </c>
      <c r="L20" s="105" t="s">
        <v>347</v>
      </c>
      <c r="M20" s="106">
        <v>5000</v>
      </c>
      <c r="N20" s="41">
        <f t="shared" si="2"/>
        <v>4000</v>
      </c>
      <c r="O20" s="41">
        <f t="shared" si="3"/>
        <v>0</v>
      </c>
      <c r="P20" s="41">
        <f t="shared" si="4"/>
        <v>14000</v>
      </c>
      <c r="Q20" s="42">
        <f t="shared" si="5"/>
        <v>18000</v>
      </c>
      <c r="R20" s="104" t="str">
        <f t="shared" si="6"/>
        <v/>
      </c>
    </row>
    <row r="21" spans="2:18" s="38" customFormat="1" x14ac:dyDescent="0.3">
      <c r="B21" s="18" t="s">
        <v>172</v>
      </c>
      <c r="C21" s="23" t="s">
        <v>9</v>
      </c>
      <c r="D21" s="46" t="str">
        <f t="shared" si="7"/>
        <v>SheTech team, DUNP</v>
      </c>
      <c r="E21" s="46" t="str">
        <f t="shared" si="8"/>
        <v>Serbia</v>
      </c>
      <c r="F21" s="22" t="s">
        <v>378</v>
      </c>
      <c r="G21" s="85" t="s">
        <v>208</v>
      </c>
      <c r="H21" s="86">
        <v>8</v>
      </c>
      <c r="I21" s="22" t="s">
        <v>90</v>
      </c>
      <c r="J21" s="18" t="s">
        <v>149</v>
      </c>
      <c r="K21" s="86">
        <v>15</v>
      </c>
      <c r="L21" s="105" t="s">
        <v>347</v>
      </c>
      <c r="M21" s="106">
        <v>5000</v>
      </c>
      <c r="N21" s="41">
        <f t="shared" si="2"/>
        <v>4000</v>
      </c>
      <c r="O21" s="41">
        <f t="shared" si="3"/>
        <v>0</v>
      </c>
      <c r="P21" s="41">
        <f t="shared" si="4"/>
        <v>14000</v>
      </c>
      <c r="Q21" s="42">
        <f t="shared" si="5"/>
        <v>18000</v>
      </c>
      <c r="R21" s="104" t="str">
        <f t="shared" si="6"/>
        <v/>
      </c>
    </row>
    <row r="22" spans="2:18" s="38" customFormat="1" x14ac:dyDescent="0.3">
      <c r="B22" s="18" t="s">
        <v>172</v>
      </c>
      <c r="C22" s="23" t="s">
        <v>9</v>
      </c>
      <c r="D22" s="46" t="str">
        <f t="shared" si="7"/>
        <v>SheTech team, DUNP</v>
      </c>
      <c r="E22" s="46" t="str">
        <f t="shared" si="8"/>
        <v>Serbia</v>
      </c>
      <c r="F22" s="22" t="s">
        <v>378</v>
      </c>
      <c r="G22" s="85" t="s">
        <v>208</v>
      </c>
      <c r="H22" s="86">
        <v>8</v>
      </c>
      <c r="I22" s="22" t="s">
        <v>36</v>
      </c>
      <c r="J22" s="18" t="s">
        <v>150</v>
      </c>
      <c r="K22" s="86">
        <v>15</v>
      </c>
      <c r="L22" s="105" t="s">
        <v>347</v>
      </c>
      <c r="M22" s="106">
        <v>6000</v>
      </c>
      <c r="N22" s="41">
        <f t="shared" si="2"/>
        <v>4800</v>
      </c>
      <c r="O22" s="41">
        <f t="shared" si="3"/>
        <v>0</v>
      </c>
      <c r="P22" s="41">
        <f t="shared" si="4"/>
        <v>14000</v>
      </c>
      <c r="Q22" s="42">
        <f t="shared" si="5"/>
        <v>18800</v>
      </c>
      <c r="R22" s="104" t="str">
        <f t="shared" si="6"/>
        <v/>
      </c>
    </row>
    <row r="23" spans="2:18" s="38" customFormat="1" x14ac:dyDescent="0.3">
      <c r="B23" s="18" t="s">
        <v>172</v>
      </c>
      <c r="C23" s="23" t="s">
        <v>9</v>
      </c>
      <c r="D23" s="46" t="str">
        <f t="shared" si="7"/>
        <v>SheTech team, DUNP</v>
      </c>
      <c r="E23" s="46" t="str">
        <f t="shared" si="8"/>
        <v>Serbia</v>
      </c>
      <c r="F23" s="22" t="s">
        <v>378</v>
      </c>
      <c r="G23" s="85" t="s">
        <v>208</v>
      </c>
      <c r="H23" s="86">
        <v>8</v>
      </c>
      <c r="I23" s="22" t="s">
        <v>6</v>
      </c>
      <c r="J23" s="18" t="s">
        <v>149</v>
      </c>
      <c r="K23" s="86">
        <v>15</v>
      </c>
      <c r="L23" s="105" t="s">
        <v>347</v>
      </c>
      <c r="M23" s="106">
        <v>5000</v>
      </c>
      <c r="N23" s="41">
        <f t="shared" si="2"/>
        <v>4000</v>
      </c>
      <c r="O23" s="41">
        <f t="shared" si="3"/>
        <v>0</v>
      </c>
      <c r="P23" s="41">
        <f t="shared" si="4"/>
        <v>14000</v>
      </c>
      <c r="Q23" s="42">
        <f t="shared" si="5"/>
        <v>18000</v>
      </c>
      <c r="R23" s="104" t="str">
        <f t="shared" si="6"/>
        <v/>
      </c>
    </row>
    <row r="24" spans="2:18" s="38" customFormat="1" x14ac:dyDescent="0.3">
      <c r="B24" s="18" t="s">
        <v>172</v>
      </c>
      <c r="C24" s="23" t="s">
        <v>9</v>
      </c>
      <c r="D24" s="46" t="str">
        <f t="shared" si="7"/>
        <v>SheTech team, DUNP</v>
      </c>
      <c r="E24" s="46" t="str">
        <f t="shared" si="8"/>
        <v>Serbia</v>
      </c>
      <c r="F24" s="22" t="s">
        <v>378</v>
      </c>
      <c r="G24" s="85" t="s">
        <v>379</v>
      </c>
      <c r="H24" s="86">
        <v>5</v>
      </c>
      <c r="I24" s="22" t="s">
        <v>64</v>
      </c>
      <c r="J24" s="18" t="s">
        <v>149</v>
      </c>
      <c r="K24" s="86">
        <v>10</v>
      </c>
      <c r="L24" s="105" t="s">
        <v>347</v>
      </c>
      <c r="M24" s="106">
        <v>5000</v>
      </c>
      <c r="N24" s="41">
        <f t="shared" si="2"/>
        <v>4000</v>
      </c>
      <c r="O24" s="41">
        <f t="shared" si="3"/>
        <v>0</v>
      </c>
      <c r="P24" s="41">
        <f t="shared" si="4"/>
        <v>6000</v>
      </c>
      <c r="Q24" s="42">
        <f t="shared" si="5"/>
        <v>10000</v>
      </c>
      <c r="R24" s="104" t="str">
        <f t="shared" si="6"/>
        <v/>
      </c>
    </row>
    <row r="25" spans="2:18" s="38" customFormat="1" x14ac:dyDescent="0.3">
      <c r="B25" s="18" t="s">
        <v>172</v>
      </c>
      <c r="C25" s="23" t="s">
        <v>9</v>
      </c>
      <c r="D25" s="46" t="str">
        <f t="shared" si="7"/>
        <v>SheTech team, DUNP</v>
      </c>
      <c r="E25" s="46" t="str">
        <f t="shared" si="8"/>
        <v>Serbia</v>
      </c>
      <c r="F25" s="22" t="s">
        <v>378</v>
      </c>
      <c r="G25" s="85" t="s">
        <v>208</v>
      </c>
      <c r="H25" s="86">
        <v>5</v>
      </c>
      <c r="I25" s="22" t="s">
        <v>90</v>
      </c>
      <c r="J25" s="18" t="s">
        <v>149</v>
      </c>
      <c r="K25" s="86">
        <v>10</v>
      </c>
      <c r="L25" s="105" t="s">
        <v>347</v>
      </c>
      <c r="M25" s="106">
        <v>5000</v>
      </c>
      <c r="N25" s="41">
        <f t="shared" si="2"/>
        <v>4000</v>
      </c>
      <c r="O25" s="41">
        <f t="shared" si="3"/>
        <v>0</v>
      </c>
      <c r="P25" s="41">
        <f t="shared" si="4"/>
        <v>6000</v>
      </c>
      <c r="Q25" s="42">
        <f t="shared" si="5"/>
        <v>10000</v>
      </c>
      <c r="R25" s="104" t="str">
        <f t="shared" si="6"/>
        <v/>
      </c>
    </row>
    <row r="26" spans="2:18" s="38" customFormat="1" x14ac:dyDescent="0.3">
      <c r="B26" s="18" t="s">
        <v>172</v>
      </c>
      <c r="C26" s="23" t="s">
        <v>9</v>
      </c>
      <c r="D26" s="46" t="str">
        <f t="shared" si="7"/>
        <v>SheTech team, DUNP</v>
      </c>
      <c r="E26" s="46" t="str">
        <f t="shared" si="8"/>
        <v>Serbia</v>
      </c>
      <c r="F26" s="22" t="s">
        <v>378</v>
      </c>
      <c r="G26" s="85" t="s">
        <v>208</v>
      </c>
      <c r="H26" s="86">
        <v>5</v>
      </c>
      <c r="I26" s="22" t="s">
        <v>38</v>
      </c>
      <c r="J26" s="18" t="s">
        <v>151</v>
      </c>
      <c r="K26" s="86">
        <v>10</v>
      </c>
      <c r="L26" s="105" t="s">
        <v>380</v>
      </c>
      <c r="M26" s="106">
        <v>5000</v>
      </c>
      <c r="N26" s="41">
        <f t="shared" si="2"/>
        <v>4000</v>
      </c>
      <c r="O26" s="41">
        <f t="shared" si="3"/>
        <v>0</v>
      </c>
      <c r="P26" s="41">
        <f t="shared" si="4"/>
        <v>6000</v>
      </c>
      <c r="Q26" s="42">
        <f t="shared" si="5"/>
        <v>10000</v>
      </c>
      <c r="R26" s="104" t="str">
        <f t="shared" si="6"/>
        <v/>
      </c>
    </row>
    <row r="27" spans="2:18" s="38" customFormat="1" x14ac:dyDescent="0.3">
      <c r="B27" s="18" t="s">
        <v>172</v>
      </c>
      <c r="C27" s="23" t="s">
        <v>9</v>
      </c>
      <c r="D27" s="46" t="str">
        <f t="shared" si="7"/>
        <v>SheTech team, DUNP</v>
      </c>
      <c r="E27" s="46" t="str">
        <f t="shared" si="8"/>
        <v>Serbia</v>
      </c>
      <c r="F27" s="22" t="s">
        <v>378</v>
      </c>
      <c r="G27" s="85" t="s">
        <v>208</v>
      </c>
      <c r="H27" s="86">
        <v>5</v>
      </c>
      <c r="I27" s="22" t="s">
        <v>46</v>
      </c>
      <c r="J27" s="18" t="s">
        <v>149</v>
      </c>
      <c r="K27" s="86">
        <v>10</v>
      </c>
      <c r="L27" s="105" t="s">
        <v>347</v>
      </c>
      <c r="M27" s="106">
        <v>5000</v>
      </c>
      <c r="N27" s="41">
        <f t="shared" si="2"/>
        <v>4000</v>
      </c>
      <c r="O27" s="41">
        <f t="shared" si="3"/>
        <v>0</v>
      </c>
      <c r="P27" s="41">
        <f t="shared" si="4"/>
        <v>6000</v>
      </c>
      <c r="Q27" s="42">
        <f t="shared" si="5"/>
        <v>10000</v>
      </c>
      <c r="R27" s="104" t="str">
        <f t="shared" si="6"/>
        <v/>
      </c>
    </row>
    <row r="28" spans="2:18" s="38" customFormat="1" x14ac:dyDescent="0.3">
      <c r="B28" s="18" t="s">
        <v>172</v>
      </c>
      <c r="C28" s="23" t="s">
        <v>9</v>
      </c>
      <c r="D28" s="46" t="str">
        <f t="shared" si="7"/>
        <v>SheTech team, DUNP</v>
      </c>
      <c r="E28" s="46" t="str">
        <f t="shared" si="8"/>
        <v>Serbia</v>
      </c>
      <c r="F28" s="22" t="s">
        <v>378</v>
      </c>
      <c r="G28" s="85" t="s">
        <v>208</v>
      </c>
      <c r="H28" s="86">
        <v>5</v>
      </c>
      <c r="I28" s="22" t="s">
        <v>53</v>
      </c>
      <c r="J28" s="18" t="s">
        <v>150</v>
      </c>
      <c r="K28" s="86">
        <v>10</v>
      </c>
      <c r="L28" s="105" t="s">
        <v>347</v>
      </c>
      <c r="M28" s="106">
        <v>5000</v>
      </c>
      <c r="N28" s="41">
        <f t="shared" si="2"/>
        <v>4000</v>
      </c>
      <c r="O28" s="41">
        <f t="shared" si="3"/>
        <v>0</v>
      </c>
      <c r="P28" s="41">
        <f t="shared" si="4"/>
        <v>6000</v>
      </c>
      <c r="Q28" s="42">
        <f t="shared" si="5"/>
        <v>10000</v>
      </c>
      <c r="R28" s="104" t="str">
        <f t="shared" si="6"/>
        <v/>
      </c>
    </row>
    <row r="29" spans="2:18" s="38" customFormat="1" x14ac:dyDescent="0.3">
      <c r="B29" s="18" t="s">
        <v>174</v>
      </c>
      <c r="C29" s="23" t="s">
        <v>8</v>
      </c>
      <c r="D29" s="46" t="str">
        <f t="shared" si="7"/>
        <v>Udruženje "Sport za sve i rekreacija"</v>
      </c>
      <c r="E29" s="46" t="str">
        <f t="shared" si="8"/>
        <v>Serbia</v>
      </c>
      <c r="F29" s="22" t="s">
        <v>381</v>
      </c>
      <c r="G29" s="85" t="s">
        <v>208</v>
      </c>
      <c r="H29" s="86">
        <v>4</v>
      </c>
      <c r="I29" s="22" t="s">
        <v>98</v>
      </c>
      <c r="J29" s="18" t="s">
        <v>149</v>
      </c>
      <c r="K29" s="86">
        <v>30</v>
      </c>
      <c r="L29" s="105" t="s">
        <v>347</v>
      </c>
      <c r="M29" s="106">
        <v>5000</v>
      </c>
      <c r="N29" s="41">
        <f t="shared" si="2"/>
        <v>4000</v>
      </c>
      <c r="O29" s="41">
        <f t="shared" si="3"/>
        <v>0</v>
      </c>
      <c r="P29" s="41">
        <f t="shared" si="4"/>
        <v>11200</v>
      </c>
      <c r="Q29" s="42">
        <f t="shared" si="5"/>
        <v>15200</v>
      </c>
      <c r="R29" s="104" t="str">
        <f t="shared" si="6"/>
        <v/>
      </c>
    </row>
    <row r="30" spans="2:18" s="38" customFormat="1" x14ac:dyDescent="0.3">
      <c r="B30" s="18" t="s">
        <v>174</v>
      </c>
      <c r="C30" s="23" t="s">
        <v>156</v>
      </c>
      <c r="D30" s="46" t="str">
        <f t="shared" si="7"/>
        <v>Dinamo Zagreb sportska akademija</v>
      </c>
      <c r="E30" s="46" t="str">
        <f t="shared" si="8"/>
        <v>Croatia</v>
      </c>
      <c r="F30" s="22" t="s">
        <v>382</v>
      </c>
      <c r="G30" s="85" t="s">
        <v>208</v>
      </c>
      <c r="H30" s="86">
        <v>4</v>
      </c>
      <c r="I30" s="22" t="s">
        <v>98</v>
      </c>
      <c r="J30" s="18" t="s">
        <v>149</v>
      </c>
      <c r="K30" s="86">
        <v>30</v>
      </c>
      <c r="L30" s="105" t="s">
        <v>347</v>
      </c>
      <c r="M30" s="106">
        <v>5000</v>
      </c>
      <c r="N30" s="41">
        <f t="shared" si="2"/>
        <v>4000</v>
      </c>
      <c r="O30" s="41">
        <f t="shared" si="3"/>
        <v>0</v>
      </c>
      <c r="P30" s="41">
        <f t="shared" si="4"/>
        <v>11200</v>
      </c>
      <c r="Q30" s="42">
        <f t="shared" si="5"/>
        <v>15200</v>
      </c>
      <c r="R30" s="104" t="str">
        <f t="shared" si="6"/>
        <v/>
      </c>
    </row>
    <row r="31" spans="2:18" s="38" customFormat="1" x14ac:dyDescent="0.3">
      <c r="B31" s="18" t="s">
        <v>174</v>
      </c>
      <c r="C31" s="23" t="s">
        <v>19</v>
      </c>
      <c r="D31" s="46" t="str">
        <f t="shared" si="7"/>
        <v>National Sports Academy "Vassil Levski"</v>
      </c>
      <c r="E31" s="46" t="str">
        <f t="shared" si="8"/>
        <v>Bulgaria</v>
      </c>
      <c r="F31" s="22" t="s">
        <v>383</v>
      </c>
      <c r="G31" s="85" t="s">
        <v>208</v>
      </c>
      <c r="H31" s="86">
        <v>4</v>
      </c>
      <c r="I31" s="22" t="s">
        <v>98</v>
      </c>
      <c r="J31" s="18" t="s">
        <v>149</v>
      </c>
      <c r="K31" s="86">
        <v>30</v>
      </c>
      <c r="L31" s="105" t="s">
        <v>347</v>
      </c>
      <c r="M31" s="106">
        <v>5000</v>
      </c>
      <c r="N31" s="41">
        <f t="shared" si="2"/>
        <v>4000</v>
      </c>
      <c r="O31" s="41">
        <f t="shared" si="3"/>
        <v>0</v>
      </c>
      <c r="P31" s="41">
        <f t="shared" si="4"/>
        <v>11200</v>
      </c>
      <c r="Q31" s="42">
        <f t="shared" si="5"/>
        <v>15200</v>
      </c>
      <c r="R31" s="104" t="str">
        <f t="shared" si="6"/>
        <v/>
      </c>
    </row>
    <row r="32" spans="2:18" s="38" customFormat="1" x14ac:dyDescent="0.3">
      <c r="B32" s="18" t="s">
        <v>174</v>
      </c>
      <c r="C32" s="23" t="s">
        <v>17</v>
      </c>
      <c r="D32" s="46" t="str">
        <f t="shared" si="7"/>
        <v>Nacionalni športni centar Planica</v>
      </c>
      <c r="E32" s="46" t="str">
        <f t="shared" si="8"/>
        <v>Slovenia</v>
      </c>
      <c r="F32" s="22" t="s">
        <v>384</v>
      </c>
      <c r="G32" s="85" t="s">
        <v>208</v>
      </c>
      <c r="H32" s="86">
        <v>4</v>
      </c>
      <c r="I32" s="22" t="s">
        <v>98</v>
      </c>
      <c r="J32" s="18" t="s">
        <v>150</v>
      </c>
      <c r="K32" s="86">
        <v>30</v>
      </c>
      <c r="L32" s="105" t="s">
        <v>347</v>
      </c>
      <c r="M32" s="106">
        <v>5000</v>
      </c>
      <c r="N32" s="41">
        <f t="shared" si="2"/>
        <v>4000</v>
      </c>
      <c r="O32" s="41">
        <f t="shared" si="3"/>
        <v>0</v>
      </c>
      <c r="P32" s="41">
        <f t="shared" si="4"/>
        <v>11200</v>
      </c>
      <c r="Q32" s="42">
        <f t="shared" si="5"/>
        <v>15200</v>
      </c>
      <c r="R32" s="104" t="str">
        <f t="shared" si="6"/>
        <v/>
      </c>
    </row>
    <row r="33" spans="2:18" s="38" customFormat="1" x14ac:dyDescent="0.3">
      <c r="B33" s="18" t="s">
        <v>174</v>
      </c>
      <c r="C33" s="23" t="s">
        <v>23</v>
      </c>
      <c r="D33" s="46" t="str">
        <f t="shared" si="7"/>
        <v>Sportski savez KS</v>
      </c>
      <c r="E33" s="46" t="str">
        <f t="shared" si="8"/>
        <v>Bosnia and Herzegovina</v>
      </c>
      <c r="F33" s="22" t="s">
        <v>385</v>
      </c>
      <c r="G33" s="85" t="s">
        <v>208</v>
      </c>
      <c r="H33" s="86">
        <v>4</v>
      </c>
      <c r="I33" s="22" t="s">
        <v>98</v>
      </c>
      <c r="J33" s="18" t="s">
        <v>149</v>
      </c>
      <c r="K33" s="86">
        <v>30</v>
      </c>
      <c r="L33" s="105" t="s">
        <v>347</v>
      </c>
      <c r="M33" s="106">
        <v>5000</v>
      </c>
      <c r="N33" s="41">
        <f t="shared" si="2"/>
        <v>4000</v>
      </c>
      <c r="O33" s="41">
        <f t="shared" si="3"/>
        <v>0</v>
      </c>
      <c r="P33" s="41">
        <f t="shared" si="4"/>
        <v>11200</v>
      </c>
      <c r="Q33" s="42">
        <f t="shared" si="5"/>
        <v>15200</v>
      </c>
      <c r="R33" s="104" t="str">
        <f t="shared" si="6"/>
        <v/>
      </c>
    </row>
    <row r="34" spans="2:18" s="38" customFormat="1" x14ac:dyDescent="0.3">
      <c r="B34" s="18" t="s">
        <v>174</v>
      </c>
      <c r="C34" s="23" t="s">
        <v>24</v>
      </c>
      <c r="D34" s="46" t="str">
        <f t="shared" si="7"/>
        <v>Škola sporta "FC Porto"</v>
      </c>
      <c r="E34" s="46" t="str">
        <f t="shared" si="8"/>
        <v>Portugal</v>
      </c>
      <c r="F34" s="22" t="s">
        <v>386</v>
      </c>
      <c r="G34" s="85" t="s">
        <v>208</v>
      </c>
      <c r="H34" s="86">
        <v>4</v>
      </c>
      <c r="I34" s="22" t="s">
        <v>98</v>
      </c>
      <c r="J34" s="18" t="s">
        <v>154</v>
      </c>
      <c r="K34" s="86">
        <v>30</v>
      </c>
      <c r="L34" s="105" t="s">
        <v>347</v>
      </c>
      <c r="M34" s="106">
        <v>5000</v>
      </c>
      <c r="N34" s="41">
        <f t="shared" si="2"/>
        <v>4000</v>
      </c>
      <c r="O34" s="41">
        <f t="shared" si="3"/>
        <v>0</v>
      </c>
      <c r="P34" s="41">
        <f t="shared" si="4"/>
        <v>11200</v>
      </c>
      <c r="Q34" s="42">
        <f t="shared" si="5"/>
        <v>15200</v>
      </c>
      <c r="R34" s="104" t="str">
        <f t="shared" si="6"/>
        <v/>
      </c>
    </row>
    <row r="36" spans="2:18" x14ac:dyDescent="0.35">
      <c r="M36" s="109"/>
    </row>
    <row r="38" spans="2:18" x14ac:dyDescent="0.35">
      <c r="L38" s="108"/>
      <c r="M38" s="108"/>
    </row>
    <row r="39" spans="2:18" x14ac:dyDescent="0.35">
      <c r="M39" s="108"/>
      <c r="N39" s="108"/>
      <c r="O39" s="108"/>
    </row>
  </sheetData>
  <sheetProtection password="AD90" sheet="1" objects="1" scenarios="1" selectLockedCells="1"/>
  <dataConsolidate/>
  <mergeCells count="17">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s>
  <conditionalFormatting sqref="R14">
    <cfRule type="containsText" dxfId="378" priority="1821" operator="containsText" text="Error">
      <formula>NOT(ISERROR(SEARCH("Error",R14)))</formula>
    </cfRule>
  </conditionalFormatting>
  <conditionalFormatting sqref="D13:E14">
    <cfRule type="containsBlanks" dxfId="377" priority="1819">
      <formula>LEN(TRIM(D13))=0</formula>
    </cfRule>
  </conditionalFormatting>
  <conditionalFormatting sqref="O4:Q4">
    <cfRule type="cellIs" dxfId="376" priority="1567" operator="equal">
      <formula>"EXCEEDING 80% OF TOTAL TRAVEL COSTS"</formula>
    </cfRule>
  </conditionalFormatting>
  <conditionalFormatting sqref="H13 K13">
    <cfRule type="expression" dxfId="375" priority="1559">
      <formula>ISNUMBER(H13)=FALSE</formula>
    </cfRule>
  </conditionalFormatting>
  <conditionalFormatting sqref="F13:K13">
    <cfRule type="containsBlanks" dxfId="374" priority="484">
      <formula>LEN(TRIM(F13))=0</formula>
    </cfRule>
  </conditionalFormatting>
  <conditionalFormatting sqref="B13:C13">
    <cfRule type="containsBlanks" dxfId="373" priority="1551">
      <formula>LEN(TRIM(B13))=0</formula>
    </cfRule>
  </conditionalFormatting>
  <conditionalFormatting sqref="B14:C14">
    <cfRule type="containsBlanks" dxfId="372" priority="1550">
      <formula>LEN(TRIM(B14))=0</formula>
    </cfRule>
  </conditionalFormatting>
  <conditionalFormatting sqref="K13">
    <cfRule type="cellIs" dxfId="371" priority="479" operator="lessThan">
      <formula>0</formula>
    </cfRule>
    <cfRule type="cellIs" dxfId="370" priority="1564" operator="equal">
      <formula>0</formula>
    </cfRule>
  </conditionalFormatting>
  <conditionalFormatting sqref="H13">
    <cfRule type="cellIs" dxfId="369" priority="1555" operator="lessThanOrEqual">
      <formula>0</formula>
    </cfRule>
  </conditionalFormatting>
  <conditionalFormatting sqref="H14 K14">
    <cfRule type="expression" dxfId="368" priority="477">
      <formula>ISNUMBER(H14)=FALSE</formula>
    </cfRule>
  </conditionalFormatting>
  <conditionalFormatting sqref="F14:K14">
    <cfRule type="containsBlanks" dxfId="367" priority="475">
      <formula>LEN(TRIM(F14))=0</formula>
    </cfRule>
  </conditionalFormatting>
  <conditionalFormatting sqref="K14">
    <cfRule type="cellIs" dxfId="366" priority="474" operator="lessThan">
      <formula>0</formula>
    </cfRule>
    <cfRule type="cellIs" dxfId="365" priority="478" operator="equal">
      <formula>0</formula>
    </cfRule>
  </conditionalFormatting>
  <conditionalFormatting sqref="H14">
    <cfRule type="cellIs" dxfId="364" priority="476" operator="lessThanOrEqual">
      <formula>0</formula>
    </cfRule>
  </conditionalFormatting>
  <conditionalFormatting sqref="M14">
    <cfRule type="expression" dxfId="363" priority="457">
      <formula>AND(M14=0,L14&lt;&gt;"")</formula>
    </cfRule>
  </conditionalFormatting>
  <conditionalFormatting sqref="L14">
    <cfRule type="expression" dxfId="362" priority="459">
      <formula>AND(L14="",M14&gt;0)</formula>
    </cfRule>
  </conditionalFormatting>
  <conditionalFormatting sqref="L14:M14">
    <cfRule type="cellIs" dxfId="361" priority="460" operator="equal">
      <formula>0</formula>
    </cfRule>
  </conditionalFormatting>
  <conditionalFormatting sqref="M13">
    <cfRule type="expression" dxfId="360" priority="449">
      <formula>AND(M13=0,L13&lt;&gt;"")</formula>
    </cfRule>
  </conditionalFormatting>
  <conditionalFormatting sqref="L13">
    <cfRule type="expression" dxfId="359" priority="450">
      <formula>AND(L13="",M13&gt;0)</formula>
    </cfRule>
  </conditionalFormatting>
  <conditionalFormatting sqref="L13:M13">
    <cfRule type="cellIs" dxfId="358" priority="451" operator="equal">
      <formula>0</formula>
    </cfRule>
  </conditionalFormatting>
  <conditionalFormatting sqref="N14">
    <cfRule type="expression" dxfId="357" priority="437">
      <formula>ISNUMBER(N14)=FALSE</formula>
    </cfRule>
  </conditionalFormatting>
  <conditionalFormatting sqref="R13">
    <cfRule type="containsText" dxfId="356" priority="424" operator="containsText" text="Error">
      <formula>NOT(ISERROR(SEARCH("Error",R13)))</formula>
    </cfRule>
  </conditionalFormatting>
  <conditionalFormatting sqref="N13">
    <cfRule type="expression" dxfId="355" priority="423">
      <formula>ISNUMBER(N13)=FALSE</formula>
    </cfRule>
  </conditionalFormatting>
  <conditionalFormatting sqref="D15:E15">
    <cfRule type="containsBlanks" dxfId="354" priority="312">
      <formula>LEN(TRIM(D15))=0</formula>
    </cfRule>
  </conditionalFormatting>
  <conditionalFormatting sqref="H15 K15">
    <cfRule type="expression" dxfId="353" priority="310">
      <formula>ISNUMBER(H15)=FALSE</formula>
    </cfRule>
  </conditionalFormatting>
  <conditionalFormatting sqref="F15:K15">
    <cfRule type="containsBlanks" dxfId="352" priority="307">
      <formula>LEN(TRIM(F15))=0</formula>
    </cfRule>
  </conditionalFormatting>
  <conditionalFormatting sqref="B15:C15">
    <cfRule type="containsBlanks" dxfId="351" priority="308">
      <formula>LEN(TRIM(B15))=0</formula>
    </cfRule>
  </conditionalFormatting>
  <conditionalFormatting sqref="K15">
    <cfRule type="cellIs" dxfId="350" priority="306" operator="lessThan">
      <formula>0</formula>
    </cfRule>
    <cfRule type="cellIs" dxfId="349" priority="311" operator="equal">
      <formula>0</formula>
    </cfRule>
  </conditionalFormatting>
  <conditionalFormatting sqref="H15">
    <cfRule type="cellIs" dxfId="348" priority="309" operator="lessThanOrEqual">
      <formula>0</formula>
    </cfRule>
  </conditionalFormatting>
  <conditionalFormatting sqref="M15">
    <cfRule type="expression" dxfId="347" priority="303">
      <formula>AND(M15=0,L15&lt;&gt;"")</formula>
    </cfRule>
  </conditionalFormatting>
  <conditionalFormatting sqref="L15">
    <cfRule type="expression" dxfId="346" priority="304">
      <formula>AND(L15="",M15&gt;0)</formula>
    </cfRule>
  </conditionalFormatting>
  <conditionalFormatting sqref="L15:M15">
    <cfRule type="cellIs" dxfId="345" priority="305" operator="equal">
      <formula>0</formula>
    </cfRule>
  </conditionalFormatting>
  <conditionalFormatting sqref="R15">
    <cfRule type="containsText" dxfId="344" priority="302" operator="containsText" text="Error">
      <formula>NOT(ISERROR(SEARCH("Error",R15)))</formula>
    </cfRule>
  </conditionalFormatting>
  <conditionalFormatting sqref="N15">
    <cfRule type="expression" dxfId="343" priority="301">
      <formula>ISNUMBER(N15)=FALSE</formula>
    </cfRule>
  </conditionalFormatting>
  <conditionalFormatting sqref="D16:E16">
    <cfRule type="containsBlanks" dxfId="342" priority="300">
      <formula>LEN(TRIM(D16))=0</formula>
    </cfRule>
  </conditionalFormatting>
  <conditionalFormatting sqref="H16 K16">
    <cfRule type="expression" dxfId="341" priority="298">
      <formula>ISNUMBER(H16)=FALSE</formula>
    </cfRule>
  </conditionalFormatting>
  <conditionalFormatting sqref="F16:K16">
    <cfRule type="containsBlanks" dxfId="340" priority="295">
      <formula>LEN(TRIM(F16))=0</formula>
    </cfRule>
  </conditionalFormatting>
  <conditionalFormatting sqref="B16:C16">
    <cfRule type="containsBlanks" dxfId="339" priority="296">
      <formula>LEN(TRIM(B16))=0</formula>
    </cfRule>
  </conditionalFormatting>
  <conditionalFormatting sqref="K16">
    <cfRule type="cellIs" dxfId="338" priority="294" operator="lessThan">
      <formula>0</formula>
    </cfRule>
    <cfRule type="cellIs" dxfId="337" priority="299" operator="equal">
      <formula>0</formula>
    </cfRule>
  </conditionalFormatting>
  <conditionalFormatting sqref="H16">
    <cfRule type="cellIs" dxfId="336" priority="297" operator="lessThanOrEqual">
      <formula>0</formula>
    </cfRule>
  </conditionalFormatting>
  <conditionalFormatting sqref="M16">
    <cfRule type="expression" dxfId="335" priority="291">
      <formula>AND(M16=0,L16&lt;&gt;"")</formula>
    </cfRule>
  </conditionalFormatting>
  <conditionalFormatting sqref="L16">
    <cfRule type="expression" dxfId="334" priority="292">
      <formula>AND(L16="",M16&gt;0)</formula>
    </cfRule>
  </conditionalFormatting>
  <conditionalFormatting sqref="L16:M16">
    <cfRule type="cellIs" dxfId="333" priority="293" operator="equal">
      <formula>0</formula>
    </cfRule>
  </conditionalFormatting>
  <conditionalFormatting sqref="R16">
    <cfRule type="containsText" dxfId="332" priority="290" operator="containsText" text="Error">
      <formula>NOT(ISERROR(SEARCH("Error",R16)))</formula>
    </cfRule>
  </conditionalFormatting>
  <conditionalFormatting sqref="N16">
    <cfRule type="expression" dxfId="331" priority="289">
      <formula>ISNUMBER(N16)=FALSE</formula>
    </cfRule>
  </conditionalFormatting>
  <conditionalFormatting sqref="D17:E17">
    <cfRule type="containsBlanks" dxfId="330" priority="288">
      <formula>LEN(TRIM(D17))=0</formula>
    </cfRule>
  </conditionalFormatting>
  <conditionalFormatting sqref="H17 K17">
    <cfRule type="expression" dxfId="329" priority="286">
      <formula>ISNUMBER(H17)=FALSE</formula>
    </cfRule>
  </conditionalFormatting>
  <conditionalFormatting sqref="F17:K17">
    <cfRule type="containsBlanks" dxfId="328" priority="283">
      <formula>LEN(TRIM(F17))=0</formula>
    </cfRule>
  </conditionalFormatting>
  <conditionalFormatting sqref="B17:C17">
    <cfRule type="containsBlanks" dxfId="327" priority="284">
      <formula>LEN(TRIM(B17))=0</formula>
    </cfRule>
  </conditionalFormatting>
  <conditionalFormatting sqref="K17">
    <cfRule type="cellIs" dxfId="326" priority="282" operator="lessThan">
      <formula>0</formula>
    </cfRule>
    <cfRule type="cellIs" dxfId="325" priority="287" operator="equal">
      <formula>0</formula>
    </cfRule>
  </conditionalFormatting>
  <conditionalFormatting sqref="H17">
    <cfRule type="cellIs" dxfId="324" priority="285" operator="lessThanOrEqual">
      <formula>0</formula>
    </cfRule>
  </conditionalFormatting>
  <conditionalFormatting sqref="M17">
    <cfRule type="expression" dxfId="323" priority="279">
      <formula>AND(M17=0,L17&lt;&gt;"")</formula>
    </cfRule>
  </conditionalFormatting>
  <conditionalFormatting sqref="L17">
    <cfRule type="expression" dxfId="322" priority="280">
      <formula>AND(L17="",M17&gt;0)</formula>
    </cfRule>
  </conditionalFormatting>
  <conditionalFormatting sqref="L17:M17">
    <cfRule type="cellIs" dxfId="321" priority="281" operator="equal">
      <formula>0</formula>
    </cfRule>
  </conditionalFormatting>
  <conditionalFormatting sqref="R17">
    <cfRule type="containsText" dxfId="320" priority="278" operator="containsText" text="Error">
      <formula>NOT(ISERROR(SEARCH("Error",R17)))</formula>
    </cfRule>
  </conditionalFormatting>
  <conditionalFormatting sqref="N17">
    <cfRule type="expression" dxfId="319" priority="277">
      <formula>ISNUMBER(N17)=FALSE</formula>
    </cfRule>
  </conditionalFormatting>
  <conditionalFormatting sqref="D18:E18">
    <cfRule type="containsBlanks" dxfId="318" priority="276">
      <formula>LEN(TRIM(D18))=0</formula>
    </cfRule>
  </conditionalFormatting>
  <conditionalFormatting sqref="H18 K18">
    <cfRule type="expression" dxfId="317" priority="274">
      <formula>ISNUMBER(H18)=FALSE</formula>
    </cfRule>
  </conditionalFormatting>
  <conditionalFormatting sqref="F18:K18">
    <cfRule type="containsBlanks" dxfId="316" priority="271">
      <formula>LEN(TRIM(F18))=0</formula>
    </cfRule>
  </conditionalFormatting>
  <conditionalFormatting sqref="B18:C18">
    <cfRule type="containsBlanks" dxfId="315" priority="272">
      <formula>LEN(TRIM(B18))=0</formula>
    </cfRule>
  </conditionalFormatting>
  <conditionalFormatting sqref="K18">
    <cfRule type="cellIs" dxfId="314" priority="270" operator="lessThan">
      <formula>0</formula>
    </cfRule>
    <cfRule type="cellIs" dxfId="313" priority="275" operator="equal">
      <formula>0</formula>
    </cfRule>
  </conditionalFormatting>
  <conditionalFormatting sqref="H18">
    <cfRule type="cellIs" dxfId="312" priority="273" operator="lessThanOrEqual">
      <formula>0</formula>
    </cfRule>
  </conditionalFormatting>
  <conditionalFormatting sqref="M18">
    <cfRule type="expression" dxfId="311" priority="267">
      <formula>AND(M18=0,L18&lt;&gt;"")</formula>
    </cfRule>
  </conditionalFormatting>
  <conditionalFormatting sqref="L18">
    <cfRule type="expression" dxfId="310" priority="268">
      <formula>AND(L18="",M18&gt;0)</formula>
    </cfRule>
  </conditionalFormatting>
  <conditionalFormatting sqref="L18:M18">
    <cfRule type="cellIs" dxfId="309" priority="269" operator="equal">
      <formula>0</formula>
    </cfRule>
  </conditionalFormatting>
  <conditionalFormatting sqref="R18">
    <cfRule type="containsText" dxfId="308" priority="266" operator="containsText" text="Error">
      <formula>NOT(ISERROR(SEARCH("Error",R18)))</formula>
    </cfRule>
  </conditionalFormatting>
  <conditionalFormatting sqref="N18">
    <cfRule type="expression" dxfId="307" priority="265">
      <formula>ISNUMBER(N18)=FALSE</formula>
    </cfRule>
  </conditionalFormatting>
  <conditionalFormatting sqref="D19:E19">
    <cfRule type="containsBlanks" dxfId="306" priority="252">
      <formula>LEN(TRIM(D19))=0</formula>
    </cfRule>
  </conditionalFormatting>
  <conditionalFormatting sqref="H19 K19">
    <cfRule type="expression" dxfId="305" priority="250">
      <formula>ISNUMBER(H19)=FALSE</formula>
    </cfRule>
  </conditionalFormatting>
  <conditionalFormatting sqref="F19:K19">
    <cfRule type="containsBlanks" dxfId="304" priority="247">
      <formula>LEN(TRIM(F19))=0</formula>
    </cfRule>
  </conditionalFormatting>
  <conditionalFormatting sqref="B19:C19">
    <cfRule type="containsBlanks" dxfId="303" priority="248">
      <formula>LEN(TRIM(B19))=0</formula>
    </cfRule>
  </conditionalFormatting>
  <conditionalFormatting sqref="K19">
    <cfRule type="cellIs" dxfId="302" priority="246" operator="lessThan">
      <formula>0</formula>
    </cfRule>
    <cfRule type="cellIs" dxfId="301" priority="251" operator="equal">
      <formula>0</formula>
    </cfRule>
  </conditionalFormatting>
  <conditionalFormatting sqref="H19">
    <cfRule type="cellIs" dxfId="300" priority="249" operator="lessThanOrEqual">
      <formula>0</formula>
    </cfRule>
  </conditionalFormatting>
  <conditionalFormatting sqref="M19">
    <cfRule type="expression" dxfId="299" priority="243">
      <formula>AND(M19=0,L19&lt;&gt;"")</formula>
    </cfRule>
  </conditionalFormatting>
  <conditionalFormatting sqref="L19">
    <cfRule type="expression" dxfId="298" priority="244">
      <formula>AND(L19="",M19&gt;0)</formula>
    </cfRule>
  </conditionalFormatting>
  <conditionalFormatting sqref="L19:M19">
    <cfRule type="cellIs" dxfId="297" priority="245" operator="equal">
      <formula>0</formula>
    </cfRule>
  </conditionalFormatting>
  <conditionalFormatting sqref="R19">
    <cfRule type="containsText" dxfId="296" priority="242" operator="containsText" text="Error">
      <formula>NOT(ISERROR(SEARCH("Error",R19)))</formula>
    </cfRule>
  </conditionalFormatting>
  <conditionalFormatting sqref="N19">
    <cfRule type="expression" dxfId="295" priority="241">
      <formula>ISNUMBER(N19)=FALSE</formula>
    </cfRule>
  </conditionalFormatting>
  <conditionalFormatting sqref="D20:E20">
    <cfRule type="containsBlanks" dxfId="294" priority="240">
      <formula>LEN(TRIM(D20))=0</formula>
    </cfRule>
  </conditionalFormatting>
  <conditionalFormatting sqref="H20 K20">
    <cfRule type="expression" dxfId="293" priority="238">
      <formula>ISNUMBER(H20)=FALSE</formula>
    </cfRule>
  </conditionalFormatting>
  <conditionalFormatting sqref="F20:K20">
    <cfRule type="containsBlanks" dxfId="292" priority="235">
      <formula>LEN(TRIM(F20))=0</formula>
    </cfRule>
  </conditionalFormatting>
  <conditionalFormatting sqref="B20:C20">
    <cfRule type="containsBlanks" dxfId="291" priority="236">
      <formula>LEN(TRIM(B20))=0</formula>
    </cfRule>
  </conditionalFormatting>
  <conditionalFormatting sqref="K20">
    <cfRule type="cellIs" dxfId="290" priority="234" operator="lessThan">
      <formula>0</formula>
    </cfRule>
    <cfRule type="cellIs" dxfId="289" priority="239" operator="equal">
      <formula>0</formula>
    </cfRule>
  </conditionalFormatting>
  <conditionalFormatting sqref="H20">
    <cfRule type="cellIs" dxfId="288" priority="237" operator="lessThanOrEqual">
      <formula>0</formula>
    </cfRule>
  </conditionalFormatting>
  <conditionalFormatting sqref="M20">
    <cfRule type="expression" dxfId="287" priority="231">
      <formula>AND(M20=0,L20&lt;&gt;"")</formula>
    </cfRule>
  </conditionalFormatting>
  <conditionalFormatting sqref="L20">
    <cfRule type="expression" dxfId="286" priority="232">
      <formula>AND(L20="",M20&gt;0)</formula>
    </cfRule>
  </conditionalFormatting>
  <conditionalFormatting sqref="L20:M20">
    <cfRule type="cellIs" dxfId="285" priority="233" operator="equal">
      <formula>0</formula>
    </cfRule>
  </conditionalFormatting>
  <conditionalFormatting sqref="R20">
    <cfRule type="containsText" dxfId="284" priority="230" operator="containsText" text="Error">
      <formula>NOT(ISERROR(SEARCH("Error",R20)))</formula>
    </cfRule>
  </conditionalFormatting>
  <conditionalFormatting sqref="N20">
    <cfRule type="expression" dxfId="283" priority="229">
      <formula>ISNUMBER(N20)=FALSE</formula>
    </cfRule>
  </conditionalFormatting>
  <conditionalFormatting sqref="D21:E21">
    <cfRule type="containsBlanks" dxfId="282" priority="228">
      <formula>LEN(TRIM(D21))=0</formula>
    </cfRule>
  </conditionalFormatting>
  <conditionalFormatting sqref="H21 K21">
    <cfRule type="expression" dxfId="281" priority="226">
      <formula>ISNUMBER(H21)=FALSE</formula>
    </cfRule>
  </conditionalFormatting>
  <conditionalFormatting sqref="F21:K21">
    <cfRule type="containsBlanks" dxfId="280" priority="223">
      <formula>LEN(TRIM(F21))=0</formula>
    </cfRule>
  </conditionalFormatting>
  <conditionalFormatting sqref="B21:C21">
    <cfRule type="containsBlanks" dxfId="279" priority="224">
      <formula>LEN(TRIM(B21))=0</formula>
    </cfRule>
  </conditionalFormatting>
  <conditionalFormatting sqref="K21">
    <cfRule type="cellIs" dxfId="278" priority="222" operator="lessThan">
      <formula>0</formula>
    </cfRule>
    <cfRule type="cellIs" dxfId="277" priority="227" operator="equal">
      <formula>0</formula>
    </cfRule>
  </conditionalFormatting>
  <conditionalFormatting sqref="H21">
    <cfRule type="cellIs" dxfId="276" priority="225" operator="lessThanOrEqual">
      <formula>0</formula>
    </cfRule>
  </conditionalFormatting>
  <conditionalFormatting sqref="M21">
    <cfRule type="expression" dxfId="275" priority="219">
      <formula>AND(M21=0,L21&lt;&gt;"")</formula>
    </cfRule>
  </conditionalFormatting>
  <conditionalFormatting sqref="L21">
    <cfRule type="expression" dxfId="274" priority="220">
      <formula>AND(L21="",M21&gt;0)</formula>
    </cfRule>
  </conditionalFormatting>
  <conditionalFormatting sqref="L21:M21">
    <cfRule type="cellIs" dxfId="273" priority="221" operator="equal">
      <formula>0</formula>
    </cfRule>
  </conditionalFormatting>
  <conditionalFormatting sqref="R21">
    <cfRule type="containsText" dxfId="272" priority="218" operator="containsText" text="Error">
      <formula>NOT(ISERROR(SEARCH("Error",R21)))</formula>
    </cfRule>
  </conditionalFormatting>
  <conditionalFormatting sqref="N21">
    <cfRule type="expression" dxfId="271" priority="217">
      <formula>ISNUMBER(N21)=FALSE</formula>
    </cfRule>
  </conditionalFormatting>
  <conditionalFormatting sqref="D22:E22">
    <cfRule type="containsBlanks" dxfId="270" priority="216">
      <formula>LEN(TRIM(D22))=0</formula>
    </cfRule>
  </conditionalFormatting>
  <conditionalFormatting sqref="H22 K22">
    <cfRule type="expression" dxfId="269" priority="214">
      <formula>ISNUMBER(H22)=FALSE</formula>
    </cfRule>
  </conditionalFormatting>
  <conditionalFormatting sqref="F22:K22">
    <cfRule type="containsBlanks" dxfId="268" priority="211">
      <formula>LEN(TRIM(F22))=0</formula>
    </cfRule>
  </conditionalFormatting>
  <conditionalFormatting sqref="B22:C22">
    <cfRule type="containsBlanks" dxfId="267" priority="212">
      <formula>LEN(TRIM(B22))=0</formula>
    </cfRule>
  </conditionalFormatting>
  <conditionalFormatting sqref="K22">
    <cfRule type="cellIs" dxfId="266" priority="210" operator="lessThan">
      <formula>0</formula>
    </cfRule>
    <cfRule type="cellIs" dxfId="265" priority="215" operator="equal">
      <formula>0</formula>
    </cfRule>
  </conditionalFormatting>
  <conditionalFormatting sqref="H22">
    <cfRule type="cellIs" dxfId="264" priority="213" operator="lessThanOrEqual">
      <formula>0</formula>
    </cfRule>
  </conditionalFormatting>
  <conditionalFormatting sqref="M22">
    <cfRule type="expression" dxfId="263" priority="207">
      <formula>AND(M22=0,L22&lt;&gt;"")</formula>
    </cfRule>
  </conditionalFormatting>
  <conditionalFormatting sqref="L22">
    <cfRule type="expression" dxfId="262" priority="208">
      <formula>AND(L22="",M22&gt;0)</formula>
    </cfRule>
  </conditionalFormatting>
  <conditionalFormatting sqref="L22:M22">
    <cfRule type="cellIs" dxfId="261" priority="209" operator="equal">
      <formula>0</formula>
    </cfRule>
  </conditionalFormatting>
  <conditionalFormatting sqref="R22">
    <cfRule type="containsText" dxfId="260" priority="206" operator="containsText" text="Error">
      <formula>NOT(ISERROR(SEARCH("Error",R22)))</formula>
    </cfRule>
  </conditionalFormatting>
  <conditionalFormatting sqref="N22">
    <cfRule type="expression" dxfId="259" priority="205">
      <formula>ISNUMBER(N22)=FALSE</formula>
    </cfRule>
  </conditionalFormatting>
  <conditionalFormatting sqref="D23:E23">
    <cfRule type="containsBlanks" dxfId="258" priority="204">
      <formula>LEN(TRIM(D23))=0</formula>
    </cfRule>
  </conditionalFormatting>
  <conditionalFormatting sqref="H23 K23">
    <cfRule type="expression" dxfId="257" priority="202">
      <formula>ISNUMBER(H23)=FALSE</formula>
    </cfRule>
  </conditionalFormatting>
  <conditionalFormatting sqref="F23:K23">
    <cfRule type="containsBlanks" dxfId="256" priority="199">
      <formula>LEN(TRIM(F23))=0</formula>
    </cfRule>
  </conditionalFormatting>
  <conditionalFormatting sqref="B23:C23">
    <cfRule type="containsBlanks" dxfId="255" priority="200">
      <formula>LEN(TRIM(B23))=0</formula>
    </cfRule>
  </conditionalFormatting>
  <conditionalFormatting sqref="K23">
    <cfRule type="cellIs" dxfId="254" priority="198" operator="lessThan">
      <formula>0</formula>
    </cfRule>
    <cfRule type="cellIs" dxfId="253" priority="203" operator="equal">
      <formula>0</formula>
    </cfRule>
  </conditionalFormatting>
  <conditionalFormatting sqref="H23">
    <cfRule type="cellIs" dxfId="252" priority="201" operator="lessThanOrEqual">
      <formula>0</formula>
    </cfRule>
  </conditionalFormatting>
  <conditionalFormatting sqref="M23">
    <cfRule type="expression" dxfId="251" priority="195">
      <formula>AND(M23=0,L23&lt;&gt;"")</formula>
    </cfRule>
  </conditionalFormatting>
  <conditionalFormatting sqref="L23">
    <cfRule type="expression" dxfId="250" priority="196">
      <formula>AND(L23="",M23&gt;0)</formula>
    </cfRule>
  </conditionalFormatting>
  <conditionalFormatting sqref="L23:M23">
    <cfRule type="cellIs" dxfId="249" priority="197" operator="equal">
      <formula>0</formula>
    </cfRule>
  </conditionalFormatting>
  <conditionalFormatting sqref="R23">
    <cfRule type="containsText" dxfId="248" priority="194" operator="containsText" text="Error">
      <formula>NOT(ISERROR(SEARCH("Error",R23)))</formula>
    </cfRule>
  </conditionalFormatting>
  <conditionalFormatting sqref="N23">
    <cfRule type="expression" dxfId="247" priority="193">
      <formula>ISNUMBER(N23)=FALSE</formula>
    </cfRule>
  </conditionalFormatting>
  <conditionalFormatting sqref="D24:E24">
    <cfRule type="containsBlanks" dxfId="246" priority="192">
      <formula>LEN(TRIM(D24))=0</formula>
    </cfRule>
  </conditionalFormatting>
  <conditionalFormatting sqref="H24 K24">
    <cfRule type="expression" dxfId="245" priority="190">
      <formula>ISNUMBER(H24)=FALSE</formula>
    </cfRule>
  </conditionalFormatting>
  <conditionalFormatting sqref="F24:K24">
    <cfRule type="containsBlanks" dxfId="244" priority="187">
      <formula>LEN(TRIM(F24))=0</formula>
    </cfRule>
  </conditionalFormatting>
  <conditionalFormatting sqref="B24:C24">
    <cfRule type="containsBlanks" dxfId="243" priority="188">
      <formula>LEN(TRIM(B24))=0</formula>
    </cfRule>
  </conditionalFormatting>
  <conditionalFormatting sqref="K24">
    <cfRule type="cellIs" dxfId="242" priority="186" operator="lessThan">
      <formula>0</formula>
    </cfRule>
    <cfRule type="cellIs" dxfId="241" priority="191" operator="equal">
      <formula>0</formula>
    </cfRule>
  </conditionalFormatting>
  <conditionalFormatting sqref="H24">
    <cfRule type="cellIs" dxfId="240" priority="189" operator="lessThanOrEqual">
      <formula>0</formula>
    </cfRule>
  </conditionalFormatting>
  <conditionalFormatting sqref="M24">
    <cfRule type="expression" dxfId="239" priority="183">
      <formula>AND(M24=0,L24&lt;&gt;"")</formula>
    </cfRule>
  </conditionalFormatting>
  <conditionalFormatting sqref="L24">
    <cfRule type="expression" dxfId="238" priority="184">
      <formula>AND(L24="",M24&gt;0)</formula>
    </cfRule>
  </conditionalFormatting>
  <conditionalFormatting sqref="L24:M24">
    <cfRule type="cellIs" dxfId="237" priority="185" operator="equal">
      <formula>0</formula>
    </cfRule>
  </conditionalFormatting>
  <conditionalFormatting sqref="R24">
    <cfRule type="containsText" dxfId="236" priority="182" operator="containsText" text="Error">
      <formula>NOT(ISERROR(SEARCH("Error",R24)))</formula>
    </cfRule>
  </conditionalFormatting>
  <conditionalFormatting sqref="N24">
    <cfRule type="expression" dxfId="235" priority="181">
      <formula>ISNUMBER(N24)=FALSE</formula>
    </cfRule>
  </conditionalFormatting>
  <conditionalFormatting sqref="D25:E25">
    <cfRule type="containsBlanks" dxfId="234" priority="180">
      <formula>LEN(TRIM(D25))=0</formula>
    </cfRule>
  </conditionalFormatting>
  <conditionalFormatting sqref="H25 K25">
    <cfRule type="expression" dxfId="233" priority="178">
      <formula>ISNUMBER(H25)=FALSE</formula>
    </cfRule>
  </conditionalFormatting>
  <conditionalFormatting sqref="F25:K25">
    <cfRule type="containsBlanks" dxfId="232" priority="175">
      <formula>LEN(TRIM(F25))=0</formula>
    </cfRule>
  </conditionalFormatting>
  <conditionalFormatting sqref="B25:C25">
    <cfRule type="containsBlanks" dxfId="231" priority="176">
      <formula>LEN(TRIM(B25))=0</formula>
    </cfRule>
  </conditionalFormatting>
  <conditionalFormatting sqref="K25">
    <cfRule type="cellIs" dxfId="230" priority="174" operator="lessThan">
      <formula>0</formula>
    </cfRule>
    <cfRule type="cellIs" dxfId="229" priority="179" operator="equal">
      <formula>0</formula>
    </cfRule>
  </conditionalFormatting>
  <conditionalFormatting sqref="H25">
    <cfRule type="cellIs" dxfId="228" priority="177" operator="lessThanOrEqual">
      <formula>0</formula>
    </cfRule>
  </conditionalFormatting>
  <conditionalFormatting sqref="M25">
    <cfRule type="expression" dxfId="227" priority="171">
      <formula>AND(M25=0,L25&lt;&gt;"")</formula>
    </cfRule>
  </conditionalFormatting>
  <conditionalFormatting sqref="L25">
    <cfRule type="expression" dxfId="226" priority="172">
      <formula>AND(L25="",M25&gt;0)</formula>
    </cfRule>
  </conditionalFormatting>
  <conditionalFormatting sqref="L25:M25">
    <cfRule type="cellIs" dxfId="225" priority="173" operator="equal">
      <formula>0</formula>
    </cfRule>
  </conditionalFormatting>
  <conditionalFormatting sqref="R25">
    <cfRule type="containsText" dxfId="224" priority="170" operator="containsText" text="Error">
      <formula>NOT(ISERROR(SEARCH("Error",R25)))</formula>
    </cfRule>
  </conditionalFormatting>
  <conditionalFormatting sqref="N25">
    <cfRule type="expression" dxfId="223" priority="169">
      <formula>ISNUMBER(N25)=FALSE</formula>
    </cfRule>
  </conditionalFormatting>
  <conditionalFormatting sqref="D26:E26">
    <cfRule type="containsBlanks" dxfId="222" priority="168">
      <formula>LEN(TRIM(D26))=0</formula>
    </cfRule>
  </conditionalFormatting>
  <conditionalFormatting sqref="H26 K26">
    <cfRule type="expression" dxfId="221" priority="166">
      <formula>ISNUMBER(H26)=FALSE</formula>
    </cfRule>
  </conditionalFormatting>
  <conditionalFormatting sqref="F26:K26">
    <cfRule type="containsBlanks" dxfId="220" priority="163">
      <formula>LEN(TRIM(F26))=0</formula>
    </cfRule>
  </conditionalFormatting>
  <conditionalFormatting sqref="B26:C26">
    <cfRule type="containsBlanks" dxfId="219" priority="164">
      <formula>LEN(TRIM(B26))=0</formula>
    </cfRule>
  </conditionalFormatting>
  <conditionalFormatting sqref="K26">
    <cfRule type="cellIs" dxfId="218" priority="162" operator="lessThan">
      <formula>0</formula>
    </cfRule>
    <cfRule type="cellIs" dxfId="217" priority="167" operator="equal">
      <formula>0</formula>
    </cfRule>
  </conditionalFormatting>
  <conditionalFormatting sqref="H26">
    <cfRule type="cellIs" dxfId="216" priority="165" operator="lessThanOrEqual">
      <formula>0</formula>
    </cfRule>
  </conditionalFormatting>
  <conditionalFormatting sqref="M26">
    <cfRule type="expression" dxfId="215" priority="159">
      <formula>AND(M26=0,L26&lt;&gt;"")</formula>
    </cfRule>
  </conditionalFormatting>
  <conditionalFormatting sqref="L26">
    <cfRule type="expression" dxfId="214" priority="160">
      <formula>AND(L26="",M26&gt;0)</formula>
    </cfRule>
  </conditionalFormatting>
  <conditionalFormatting sqref="L26:M26">
    <cfRule type="cellIs" dxfId="213" priority="161" operator="equal">
      <formula>0</formula>
    </cfRule>
  </conditionalFormatting>
  <conditionalFormatting sqref="R26">
    <cfRule type="containsText" dxfId="212" priority="158" operator="containsText" text="Error">
      <formula>NOT(ISERROR(SEARCH("Error",R26)))</formula>
    </cfRule>
  </conditionalFormatting>
  <conditionalFormatting sqref="N26">
    <cfRule type="expression" dxfId="211" priority="157">
      <formula>ISNUMBER(N26)=FALSE</formula>
    </cfRule>
  </conditionalFormatting>
  <conditionalFormatting sqref="D27:E27">
    <cfRule type="containsBlanks" dxfId="210" priority="156">
      <formula>LEN(TRIM(D27))=0</formula>
    </cfRule>
  </conditionalFormatting>
  <conditionalFormatting sqref="H27 K27">
    <cfRule type="expression" dxfId="209" priority="154">
      <formula>ISNUMBER(H27)=FALSE</formula>
    </cfRule>
  </conditionalFormatting>
  <conditionalFormatting sqref="F27:K27">
    <cfRule type="containsBlanks" dxfId="208" priority="151">
      <formula>LEN(TRIM(F27))=0</formula>
    </cfRule>
  </conditionalFormatting>
  <conditionalFormatting sqref="B27:C27">
    <cfRule type="containsBlanks" dxfId="207" priority="152">
      <formula>LEN(TRIM(B27))=0</formula>
    </cfRule>
  </conditionalFormatting>
  <conditionalFormatting sqref="K27">
    <cfRule type="cellIs" dxfId="206" priority="150" operator="lessThan">
      <formula>0</formula>
    </cfRule>
    <cfRule type="cellIs" dxfId="205" priority="155" operator="equal">
      <formula>0</formula>
    </cfRule>
  </conditionalFormatting>
  <conditionalFormatting sqref="H27">
    <cfRule type="cellIs" dxfId="204" priority="153" operator="lessThanOrEqual">
      <formula>0</formula>
    </cfRule>
  </conditionalFormatting>
  <conditionalFormatting sqref="M27">
    <cfRule type="expression" dxfId="203" priority="147">
      <formula>AND(M27=0,L27&lt;&gt;"")</formula>
    </cfRule>
  </conditionalFormatting>
  <conditionalFormatting sqref="L27">
    <cfRule type="expression" dxfId="202" priority="148">
      <formula>AND(L27="",M27&gt;0)</formula>
    </cfRule>
  </conditionalFormatting>
  <conditionalFormatting sqref="L27:M27">
    <cfRule type="cellIs" dxfId="201" priority="149" operator="equal">
      <formula>0</formula>
    </cfRule>
  </conditionalFormatting>
  <conditionalFormatting sqref="R27">
    <cfRule type="containsText" dxfId="200" priority="146" operator="containsText" text="Error">
      <formula>NOT(ISERROR(SEARCH("Error",R27)))</formula>
    </cfRule>
  </conditionalFormatting>
  <conditionalFormatting sqref="N27">
    <cfRule type="expression" dxfId="199" priority="145">
      <formula>ISNUMBER(N27)=FALSE</formula>
    </cfRule>
  </conditionalFormatting>
  <conditionalFormatting sqref="D28:E28">
    <cfRule type="containsBlanks" dxfId="198" priority="144">
      <formula>LEN(TRIM(D28))=0</formula>
    </cfRule>
  </conditionalFormatting>
  <conditionalFormatting sqref="H28 K28">
    <cfRule type="expression" dxfId="197" priority="142">
      <formula>ISNUMBER(H28)=FALSE</formula>
    </cfRule>
  </conditionalFormatting>
  <conditionalFormatting sqref="F28:K28">
    <cfRule type="containsBlanks" dxfId="196" priority="139">
      <formula>LEN(TRIM(F28))=0</formula>
    </cfRule>
  </conditionalFormatting>
  <conditionalFormatting sqref="B28:C28">
    <cfRule type="containsBlanks" dxfId="195" priority="140">
      <formula>LEN(TRIM(B28))=0</formula>
    </cfRule>
  </conditionalFormatting>
  <conditionalFormatting sqref="K28">
    <cfRule type="cellIs" dxfId="194" priority="138" operator="lessThan">
      <formula>0</formula>
    </cfRule>
    <cfRule type="cellIs" dxfId="193" priority="143" operator="equal">
      <formula>0</formula>
    </cfRule>
  </conditionalFormatting>
  <conditionalFormatting sqref="H28">
    <cfRule type="cellIs" dxfId="192" priority="141" operator="lessThanOrEqual">
      <formula>0</formula>
    </cfRule>
  </conditionalFormatting>
  <conditionalFormatting sqref="M28">
    <cfRule type="expression" dxfId="191" priority="135">
      <formula>AND(M28=0,L28&lt;&gt;"")</formula>
    </cfRule>
  </conditionalFormatting>
  <conditionalFormatting sqref="L28">
    <cfRule type="expression" dxfId="190" priority="136">
      <formula>AND(L28="",M28&gt;0)</formula>
    </cfRule>
  </conditionalFormatting>
  <conditionalFormatting sqref="L28:M28">
    <cfRule type="cellIs" dxfId="189" priority="137" operator="equal">
      <formula>0</formula>
    </cfRule>
  </conditionalFormatting>
  <conditionalFormatting sqref="R28">
    <cfRule type="containsText" dxfId="188" priority="134" operator="containsText" text="Error">
      <formula>NOT(ISERROR(SEARCH("Error",R28)))</formula>
    </cfRule>
  </conditionalFormatting>
  <conditionalFormatting sqref="N28">
    <cfRule type="expression" dxfId="187" priority="133">
      <formula>ISNUMBER(N28)=FALSE</formula>
    </cfRule>
  </conditionalFormatting>
  <conditionalFormatting sqref="D29:E29">
    <cfRule type="containsBlanks" dxfId="186" priority="72">
      <formula>LEN(TRIM(D29))=0</formula>
    </cfRule>
  </conditionalFormatting>
  <conditionalFormatting sqref="H29 K29">
    <cfRule type="expression" dxfId="185" priority="70">
      <formula>ISNUMBER(H29)=FALSE</formula>
    </cfRule>
  </conditionalFormatting>
  <conditionalFormatting sqref="F29:K29">
    <cfRule type="containsBlanks" dxfId="184" priority="67">
      <formula>LEN(TRIM(F29))=0</formula>
    </cfRule>
  </conditionalFormatting>
  <conditionalFormatting sqref="B29:C29">
    <cfRule type="containsBlanks" dxfId="183" priority="68">
      <formula>LEN(TRIM(B29))=0</formula>
    </cfRule>
  </conditionalFormatting>
  <conditionalFormatting sqref="K29">
    <cfRule type="cellIs" dxfId="182" priority="66" operator="lessThan">
      <formula>0</formula>
    </cfRule>
    <cfRule type="cellIs" dxfId="181" priority="71" operator="equal">
      <formula>0</formula>
    </cfRule>
  </conditionalFormatting>
  <conditionalFormatting sqref="H29">
    <cfRule type="cellIs" dxfId="180" priority="69" operator="lessThanOrEqual">
      <formula>0</formula>
    </cfRule>
  </conditionalFormatting>
  <conditionalFormatting sqref="M29">
    <cfRule type="expression" dxfId="179" priority="63">
      <formula>AND(M29=0,L29&lt;&gt;"")</formula>
    </cfRule>
  </conditionalFormatting>
  <conditionalFormatting sqref="L29">
    <cfRule type="expression" dxfId="178" priority="64">
      <formula>AND(L29="",M29&gt;0)</formula>
    </cfRule>
  </conditionalFormatting>
  <conditionalFormatting sqref="L29:M29">
    <cfRule type="cellIs" dxfId="177" priority="65" operator="equal">
      <formula>0</formula>
    </cfRule>
  </conditionalFormatting>
  <conditionalFormatting sqref="R29">
    <cfRule type="containsText" dxfId="176" priority="62" operator="containsText" text="Error">
      <formula>NOT(ISERROR(SEARCH("Error",R29)))</formula>
    </cfRule>
  </conditionalFormatting>
  <conditionalFormatting sqref="N29">
    <cfRule type="expression" dxfId="175" priority="61">
      <formula>ISNUMBER(N29)=FALSE</formula>
    </cfRule>
  </conditionalFormatting>
  <conditionalFormatting sqref="D30:E30">
    <cfRule type="containsBlanks" dxfId="174" priority="60">
      <formula>LEN(TRIM(D30))=0</formula>
    </cfRule>
  </conditionalFormatting>
  <conditionalFormatting sqref="H30 K30">
    <cfRule type="expression" dxfId="173" priority="58">
      <formula>ISNUMBER(H30)=FALSE</formula>
    </cfRule>
  </conditionalFormatting>
  <conditionalFormatting sqref="F30:K30">
    <cfRule type="containsBlanks" dxfId="172" priority="55">
      <formula>LEN(TRIM(F30))=0</formula>
    </cfRule>
  </conditionalFormatting>
  <conditionalFormatting sqref="B30:C30">
    <cfRule type="containsBlanks" dxfId="171" priority="56">
      <formula>LEN(TRIM(B30))=0</formula>
    </cfRule>
  </conditionalFormatting>
  <conditionalFormatting sqref="K30">
    <cfRule type="cellIs" dxfId="170" priority="54" operator="lessThan">
      <formula>0</formula>
    </cfRule>
    <cfRule type="cellIs" dxfId="169" priority="59" operator="equal">
      <formula>0</formula>
    </cfRule>
  </conditionalFormatting>
  <conditionalFormatting sqref="H30">
    <cfRule type="cellIs" dxfId="168" priority="57" operator="lessThanOrEqual">
      <formula>0</formula>
    </cfRule>
  </conditionalFormatting>
  <conditionalFormatting sqref="M30">
    <cfRule type="expression" dxfId="167" priority="51">
      <formula>AND(M30=0,L30&lt;&gt;"")</formula>
    </cfRule>
  </conditionalFormatting>
  <conditionalFormatting sqref="L30">
    <cfRule type="expression" dxfId="166" priority="52">
      <formula>AND(L30="",M30&gt;0)</formula>
    </cfRule>
  </conditionalFormatting>
  <conditionalFormatting sqref="L30:M30">
    <cfRule type="cellIs" dxfId="165" priority="53" operator="equal">
      <formula>0</formula>
    </cfRule>
  </conditionalFormatting>
  <conditionalFormatting sqref="R30">
    <cfRule type="containsText" dxfId="164" priority="50" operator="containsText" text="Error">
      <formula>NOT(ISERROR(SEARCH("Error",R30)))</formula>
    </cfRule>
  </conditionalFormatting>
  <conditionalFormatting sqref="N30">
    <cfRule type="expression" dxfId="163" priority="49">
      <formula>ISNUMBER(N30)=FALSE</formula>
    </cfRule>
  </conditionalFormatting>
  <conditionalFormatting sqref="D31:E31">
    <cfRule type="containsBlanks" dxfId="162" priority="48">
      <formula>LEN(TRIM(D31))=0</formula>
    </cfRule>
  </conditionalFormatting>
  <conditionalFormatting sqref="H31 K31">
    <cfRule type="expression" dxfId="161" priority="46">
      <formula>ISNUMBER(H31)=FALSE</formula>
    </cfRule>
  </conditionalFormatting>
  <conditionalFormatting sqref="F31:K31">
    <cfRule type="containsBlanks" dxfId="160" priority="43">
      <formula>LEN(TRIM(F31))=0</formula>
    </cfRule>
  </conditionalFormatting>
  <conditionalFormatting sqref="B31:C31">
    <cfRule type="containsBlanks" dxfId="159" priority="44">
      <formula>LEN(TRIM(B31))=0</formula>
    </cfRule>
  </conditionalFormatting>
  <conditionalFormatting sqref="K31">
    <cfRule type="cellIs" dxfId="158" priority="42" operator="lessThan">
      <formula>0</formula>
    </cfRule>
    <cfRule type="cellIs" dxfId="157" priority="47" operator="equal">
      <formula>0</formula>
    </cfRule>
  </conditionalFormatting>
  <conditionalFormatting sqref="H31">
    <cfRule type="cellIs" dxfId="156" priority="45" operator="lessThanOrEqual">
      <formula>0</formula>
    </cfRule>
  </conditionalFormatting>
  <conditionalFormatting sqref="M31">
    <cfRule type="expression" dxfId="155" priority="39">
      <formula>AND(M31=0,L31&lt;&gt;"")</formula>
    </cfRule>
  </conditionalFormatting>
  <conditionalFormatting sqref="L31">
    <cfRule type="expression" dxfId="154" priority="40">
      <formula>AND(L31="",M31&gt;0)</formula>
    </cfRule>
  </conditionalFormatting>
  <conditionalFormatting sqref="L31:M31">
    <cfRule type="cellIs" dxfId="153" priority="41" operator="equal">
      <formula>0</formula>
    </cfRule>
  </conditionalFormatting>
  <conditionalFormatting sqref="R31">
    <cfRule type="containsText" dxfId="152" priority="38" operator="containsText" text="Error">
      <formula>NOT(ISERROR(SEARCH("Error",R31)))</formula>
    </cfRule>
  </conditionalFormatting>
  <conditionalFormatting sqref="N31">
    <cfRule type="expression" dxfId="151" priority="37">
      <formula>ISNUMBER(N31)=FALSE</formula>
    </cfRule>
  </conditionalFormatting>
  <conditionalFormatting sqref="D32:E32">
    <cfRule type="containsBlanks" dxfId="150" priority="36">
      <formula>LEN(TRIM(D32))=0</formula>
    </cfRule>
  </conditionalFormatting>
  <conditionalFormatting sqref="H32 K32">
    <cfRule type="expression" dxfId="149" priority="34">
      <formula>ISNUMBER(H32)=FALSE</formula>
    </cfRule>
  </conditionalFormatting>
  <conditionalFormatting sqref="F32:K32">
    <cfRule type="containsBlanks" dxfId="148" priority="31">
      <formula>LEN(TRIM(F32))=0</formula>
    </cfRule>
  </conditionalFormatting>
  <conditionalFormatting sqref="B32:C32">
    <cfRule type="containsBlanks" dxfId="147" priority="32">
      <formula>LEN(TRIM(B32))=0</formula>
    </cfRule>
  </conditionalFormatting>
  <conditionalFormatting sqref="K32">
    <cfRule type="cellIs" dxfId="146" priority="30" operator="lessThan">
      <formula>0</formula>
    </cfRule>
    <cfRule type="cellIs" dxfId="145" priority="35" operator="equal">
      <formula>0</formula>
    </cfRule>
  </conditionalFormatting>
  <conditionalFormatting sqref="H32">
    <cfRule type="cellIs" dxfId="144" priority="33" operator="lessThanOrEqual">
      <formula>0</formula>
    </cfRule>
  </conditionalFormatting>
  <conditionalFormatting sqref="M32">
    <cfRule type="expression" dxfId="143" priority="27">
      <formula>AND(M32=0,L32&lt;&gt;"")</formula>
    </cfRule>
  </conditionalFormatting>
  <conditionalFormatting sqref="L32">
    <cfRule type="expression" dxfId="142" priority="28">
      <formula>AND(L32="",M32&gt;0)</formula>
    </cfRule>
  </conditionalFormatting>
  <conditionalFormatting sqref="L32:M32">
    <cfRule type="cellIs" dxfId="141" priority="29" operator="equal">
      <formula>0</formula>
    </cfRule>
  </conditionalFormatting>
  <conditionalFormatting sqref="R32">
    <cfRule type="containsText" dxfId="140" priority="26" operator="containsText" text="Error">
      <formula>NOT(ISERROR(SEARCH("Error",R32)))</formula>
    </cfRule>
  </conditionalFormatting>
  <conditionalFormatting sqref="N32">
    <cfRule type="expression" dxfId="139" priority="25">
      <formula>ISNUMBER(N32)=FALSE</formula>
    </cfRule>
  </conditionalFormatting>
  <conditionalFormatting sqref="D33:E33">
    <cfRule type="containsBlanks" dxfId="138" priority="24">
      <formula>LEN(TRIM(D33))=0</formula>
    </cfRule>
  </conditionalFormatting>
  <conditionalFormatting sqref="H33 K33">
    <cfRule type="expression" dxfId="137" priority="22">
      <formula>ISNUMBER(H33)=FALSE</formula>
    </cfRule>
  </conditionalFormatting>
  <conditionalFormatting sqref="F33:K33">
    <cfRule type="containsBlanks" dxfId="136" priority="19">
      <formula>LEN(TRIM(F33))=0</formula>
    </cfRule>
  </conditionalFormatting>
  <conditionalFormatting sqref="B33:C33">
    <cfRule type="containsBlanks" dxfId="135" priority="20">
      <formula>LEN(TRIM(B33))=0</formula>
    </cfRule>
  </conditionalFormatting>
  <conditionalFormatting sqref="K33">
    <cfRule type="cellIs" dxfId="134" priority="18" operator="lessThan">
      <formula>0</formula>
    </cfRule>
    <cfRule type="cellIs" dxfId="133" priority="23" operator="equal">
      <formula>0</formula>
    </cfRule>
  </conditionalFormatting>
  <conditionalFormatting sqref="H33">
    <cfRule type="cellIs" dxfId="132" priority="21" operator="lessThanOrEqual">
      <formula>0</formula>
    </cfRule>
  </conditionalFormatting>
  <conditionalFormatting sqref="M33">
    <cfRule type="expression" dxfId="131" priority="15">
      <formula>AND(M33=0,L33&lt;&gt;"")</formula>
    </cfRule>
  </conditionalFormatting>
  <conditionalFormatting sqref="L33">
    <cfRule type="expression" dxfId="130" priority="16">
      <formula>AND(L33="",M33&gt;0)</formula>
    </cfRule>
  </conditionalFormatting>
  <conditionalFormatting sqref="L33:M33">
    <cfRule type="cellIs" dxfId="129" priority="17" operator="equal">
      <formula>0</formula>
    </cfRule>
  </conditionalFormatting>
  <conditionalFormatting sqref="R33">
    <cfRule type="containsText" dxfId="128" priority="14" operator="containsText" text="Error">
      <formula>NOT(ISERROR(SEARCH("Error",R33)))</formula>
    </cfRule>
  </conditionalFormatting>
  <conditionalFormatting sqref="N33">
    <cfRule type="expression" dxfId="127" priority="13">
      <formula>ISNUMBER(N33)=FALSE</formula>
    </cfRule>
  </conditionalFormatting>
  <conditionalFormatting sqref="D34:E34">
    <cfRule type="containsBlanks" dxfId="126" priority="12">
      <formula>LEN(TRIM(D34))=0</formula>
    </cfRule>
  </conditionalFormatting>
  <conditionalFormatting sqref="H34 K34">
    <cfRule type="expression" dxfId="125" priority="10">
      <formula>ISNUMBER(H34)=FALSE</formula>
    </cfRule>
  </conditionalFormatting>
  <conditionalFormatting sqref="F34:K34">
    <cfRule type="containsBlanks" dxfId="124" priority="7">
      <formula>LEN(TRIM(F34))=0</formula>
    </cfRule>
  </conditionalFormatting>
  <conditionalFormatting sqref="B34:C34">
    <cfRule type="containsBlanks" dxfId="123" priority="8">
      <formula>LEN(TRIM(B34))=0</formula>
    </cfRule>
  </conditionalFormatting>
  <conditionalFormatting sqref="K34">
    <cfRule type="cellIs" dxfId="122" priority="6" operator="lessThan">
      <formula>0</formula>
    </cfRule>
    <cfRule type="cellIs" dxfId="121" priority="11" operator="equal">
      <formula>0</formula>
    </cfRule>
  </conditionalFormatting>
  <conditionalFormatting sqref="H34">
    <cfRule type="cellIs" dxfId="120" priority="9" operator="lessThanOrEqual">
      <formula>0</formula>
    </cfRule>
  </conditionalFormatting>
  <conditionalFormatting sqref="M34">
    <cfRule type="expression" dxfId="119" priority="3">
      <formula>AND(M34=0,L34&lt;&gt;"")</formula>
    </cfRule>
  </conditionalFormatting>
  <conditionalFormatting sqref="L34">
    <cfRule type="expression" dxfId="118" priority="4">
      <formula>AND(L34="",M34&gt;0)</formula>
    </cfRule>
  </conditionalFormatting>
  <conditionalFormatting sqref="L34:M34">
    <cfRule type="cellIs" dxfId="117" priority="5" operator="equal">
      <formula>0</formula>
    </cfRule>
  </conditionalFormatting>
  <conditionalFormatting sqref="R34">
    <cfRule type="containsText" dxfId="116" priority="2" operator="containsText" text="Error">
      <formula>NOT(ISERROR(SEARCH("Error",R34)))</formula>
    </cfRule>
  </conditionalFormatting>
  <conditionalFormatting sqref="N34">
    <cfRule type="expression" dxfId="115" priority="1">
      <formula>ISNUMBER(N34)=FALSE</formula>
    </cfRule>
  </conditionalFormatting>
  <dataValidations xWindow="173" yWindow="936" count="11">
    <dataValidation allowBlank="1" showInputMessage="1" errorTitle="Warning: Max Ceilings exceeded" error="Please be aware that this exceed the &quot;Ceilings&quot; for the maximum amounts for staff cost by country" sqref="N13:O34"/>
    <dataValidation allowBlank="1" showInputMessage="1" showErrorMessage="1" error="Please encode City of Destination" prompt="Please encode City of Destination" sqref="I13:I34"/>
    <dataValidation type="whole" allowBlank="1" showInputMessage="1" showErrorMessage="1" error="Format error (whole number only)" prompt="Please encode number (whole number only)" sqref="H13:H34">
      <formula1>0</formula1>
      <formula2>50000</formula2>
    </dataValidation>
    <dataValidation allowBlank="1" showInputMessage="1" showErrorMessage="1" error="Please encode City of Departure" prompt="Please encode City of Departure" sqref="F13:F34"/>
    <dataValidation type="whole" allowBlank="1" showInputMessage="1" showErrorMessage="1" error="Please encode the number of days - Max 90 days for Student and Staff (whole number only)" prompt="Please encode the number of days - Max 90 days for Student and Staff (whole number only)" sqref="K13:K34">
      <formula1>0</formula1>
      <formula2>90</formula2>
    </dataValidation>
    <dataValidation type="list" allowBlank="1" showInputMessage="1" showErrorMessage="1" error="Click arrow to select Category" prompt="Click arrow to select Category" sqref="G13:G34">
      <formula1>Category2</formula1>
    </dataValidation>
    <dataValidation type="list" allowBlank="1" showInputMessage="1" showErrorMessage="1" error="Click arrow to select Work Package" prompt="Click arrow to select Work Package" sqref="B13:B34">
      <formula1>WorkPackage</formula1>
    </dataValidation>
    <dataValidation type="list" allowBlank="1" showInputMessage="1" showErrorMessage="1" error="Click arrow to select Distance" prompt="Click arrow to select Distance" sqref="J13:J34">
      <formula1>TravelBands</formula1>
    </dataValidation>
    <dataValidation type="list" allowBlank="1" showInputMessage="1" showErrorMessage="1" error="Click arrow to select Partner N°" prompt="Click arrow to select Partner N°" sqref="C13:C34">
      <formula1>PartnerN°</formula1>
    </dataValidation>
    <dataValidation type="list" allowBlank="1" showInputMessage="1" showErrorMessage="1" errorTitle="Select correct option" error="Please use the drop down menu to select the correct option" sqref="L13:L34">
      <formula1>Exceptional_costs</formula1>
    </dataValidation>
    <dataValidation type="decimal" operator="greaterThanOrEqual" allowBlank="1" showInputMessage="1" showErrorMessage="1" errorTitle="Warning: Cost must be number" error="Please enter a numeric value." sqref="M13:M34">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22"/>
  <sheetViews>
    <sheetView showGridLines="0" zoomScale="70" zoomScaleNormal="70" zoomScaleSheetLayoutView="55" workbookViewId="0">
      <pane ySplit="13" topLeftCell="A14" activePane="bottomLeft" state="frozen"/>
      <selection pane="bottomLeft" activeCell="G19" sqref="G19"/>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0" t="s">
        <v>185</v>
      </c>
      <c r="C2" s="160"/>
      <c r="D2" s="160"/>
      <c r="E2" s="160"/>
      <c r="F2" s="160"/>
      <c r="G2" s="160"/>
      <c r="H2" s="160"/>
      <c r="I2" s="160"/>
    </row>
    <row r="3" spans="2:9" s="24" customFormat="1" ht="8.1" customHeight="1" x14ac:dyDescent="0.35">
      <c r="B3" s="141"/>
      <c r="C3" s="142"/>
      <c r="D3" s="142"/>
      <c r="E3" s="142"/>
      <c r="F3" s="142"/>
      <c r="G3" s="142"/>
      <c r="H3" s="142"/>
      <c r="I3" s="143"/>
    </row>
    <row r="4" spans="2:9" s="24" customFormat="1" ht="9.9" customHeight="1" x14ac:dyDescent="0.35">
      <c r="B4" s="187" t="s">
        <v>184</v>
      </c>
      <c r="C4" s="190">
        <f>SUM(H:H)</f>
        <v>284000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3">
      <c r="B13" s="18"/>
      <c r="C13" s="23"/>
      <c r="D13" s="46" t="str">
        <f t="shared" ref="D13:D22" si="0">IFERROR(IF(VLOOKUP(C13,PartnerN°Ref,2,FALSE)=0,"",VLOOKUP(C13,PartnerN°Ref,2,FALSE)),"")</f>
        <v/>
      </c>
      <c r="E13" s="46" t="str">
        <f t="shared" ref="E13:E21" si="1">IFERROR(IF(OR(VLOOKUP(C13,PartnerN°Ref,4,FALSE)="Country not found",VLOOKUP(C13,PartnerN°Ref,3,FALSE)=0),"",VLOOKUP(C13,PartnerN°Ref,3,FALSE)),"")</f>
        <v/>
      </c>
      <c r="F13" s="22"/>
      <c r="G13" s="39">
        <v>0</v>
      </c>
      <c r="H13" s="40">
        <f t="shared" ref="H13:H22" si="2">IF(I13="Error",0,ROUND(G13,2))</f>
        <v>0</v>
      </c>
      <c r="I13" s="37" t="str">
        <f t="shared" ref="I13:I21" si="3">IF(OR(COUNTIF(WorkPackage,B13)=0,COUNTIF(PartnerN°,C13)=0,D13="",COUNTIF(CountryEligEquip,E13)=0,F13="",ISNUMBER(G13)=FALSE,IF(ISNUMBER(G13)=TRUE,G13=INT(G13*100)/100=FALSE)),"Error","")</f>
        <v>Error</v>
      </c>
    </row>
    <row r="14" spans="2:9" s="38" customFormat="1" x14ac:dyDescent="0.3">
      <c r="B14" s="18" t="s">
        <v>172</v>
      </c>
      <c r="C14" s="23" t="s">
        <v>22</v>
      </c>
      <c r="D14" s="46" t="str">
        <f t="shared" si="0"/>
        <v>Sportsko drustvo "Mornar"</v>
      </c>
      <c r="E14" s="46" t="str">
        <f t="shared" si="1"/>
        <v>Montenegro</v>
      </c>
      <c r="F14" s="22" t="s">
        <v>388</v>
      </c>
      <c r="G14" s="39">
        <v>150000</v>
      </c>
      <c r="H14" s="40">
        <f t="shared" si="2"/>
        <v>150000</v>
      </c>
      <c r="I14" s="37" t="str">
        <f t="shared" si="3"/>
        <v/>
      </c>
    </row>
    <row r="15" spans="2:9" s="38" customFormat="1" x14ac:dyDescent="0.3">
      <c r="B15" s="18" t="s">
        <v>172</v>
      </c>
      <c r="C15" s="23" t="s">
        <v>22</v>
      </c>
      <c r="D15" s="46" t="str">
        <f t="shared" si="0"/>
        <v>Sportsko drustvo "Mornar"</v>
      </c>
      <c r="E15" s="46" t="str">
        <f t="shared" si="1"/>
        <v>Montenegro</v>
      </c>
      <c r="F15" s="22" t="s">
        <v>387</v>
      </c>
      <c r="G15" s="39">
        <v>38000</v>
      </c>
      <c r="H15" s="40">
        <f t="shared" si="2"/>
        <v>38000</v>
      </c>
      <c r="I15" s="37" t="str">
        <f t="shared" si="3"/>
        <v/>
      </c>
    </row>
    <row r="16" spans="2:9" s="38" customFormat="1" x14ac:dyDescent="0.3">
      <c r="B16" s="18" t="s">
        <v>172</v>
      </c>
      <c r="C16" s="23" t="s">
        <v>23</v>
      </c>
      <c r="D16" s="46" t="str">
        <f t="shared" si="0"/>
        <v>Sportski savez KS</v>
      </c>
      <c r="E16" s="46" t="str">
        <f t="shared" ref="E16" si="4">IFERROR(IF(OR(VLOOKUP(C16,PartnerN°Ref,4,FALSE)="Country not found",VLOOKUP(C16,PartnerN°Ref,3,FALSE)=0),"",VLOOKUP(C16,PartnerN°Ref,3,FALSE)),"")</f>
        <v>Bosnia and Herzegovina</v>
      </c>
      <c r="F16" s="22" t="s">
        <v>395</v>
      </c>
      <c r="G16" s="39">
        <v>11000</v>
      </c>
      <c r="H16" s="40">
        <f t="shared" si="2"/>
        <v>11000</v>
      </c>
      <c r="I16" s="37" t="str">
        <f t="shared" ref="I16" si="5">IF(OR(COUNTIF(WorkPackage,B16)=0,COUNTIF(PartnerN°,C16)=0,D16="",COUNTIF(CountryEligEquip,E16)=0,F16="",ISNUMBER(G16)=FALSE,IF(ISNUMBER(G16)=TRUE,G16=INT(G16*100)/100=FALSE)),"Error","")</f>
        <v/>
      </c>
    </row>
    <row r="17" spans="2:9" s="38" customFormat="1" ht="108" x14ac:dyDescent="0.3">
      <c r="B17" s="18" t="s">
        <v>172</v>
      </c>
      <c r="C17" s="23" t="s">
        <v>23</v>
      </c>
      <c r="D17" s="46" t="str">
        <f t="shared" si="0"/>
        <v>Sportski savez KS</v>
      </c>
      <c r="E17" s="46" t="str">
        <f t="shared" si="1"/>
        <v>Bosnia and Herzegovina</v>
      </c>
      <c r="F17" s="22" t="s">
        <v>401</v>
      </c>
      <c r="G17" s="39">
        <v>10000</v>
      </c>
      <c r="H17" s="40">
        <f t="shared" si="2"/>
        <v>10000</v>
      </c>
      <c r="I17" s="37" t="str">
        <f t="shared" si="3"/>
        <v/>
      </c>
    </row>
    <row r="18" spans="2:9" s="38" customFormat="1" x14ac:dyDescent="0.3">
      <c r="B18" s="18" t="s">
        <v>172</v>
      </c>
      <c r="C18" s="23" t="s">
        <v>23</v>
      </c>
      <c r="D18" s="46" t="str">
        <f t="shared" si="0"/>
        <v>Sportski savez KS</v>
      </c>
      <c r="E18" s="46" t="str">
        <f t="shared" ref="E18" si="6">IFERROR(IF(OR(VLOOKUP(C18,PartnerN°Ref,4,FALSE)="Country not found",VLOOKUP(C18,PartnerN°Ref,3,FALSE)=0),"",VLOOKUP(C18,PartnerN°Ref,3,FALSE)),"")</f>
        <v>Bosnia and Herzegovina</v>
      </c>
      <c r="F18" s="22" t="s">
        <v>402</v>
      </c>
      <c r="G18" s="39">
        <v>20000</v>
      </c>
      <c r="H18" s="40">
        <f t="shared" si="2"/>
        <v>20000</v>
      </c>
      <c r="I18" s="37" t="str">
        <f t="shared" ref="I18" si="7">IF(OR(COUNTIF(WorkPackage,B18)=0,COUNTIF(PartnerN°,C18)=0,D18="",COUNTIF(CountryEligEquip,E18)=0,F18="",ISNUMBER(G18)=FALSE,IF(ISNUMBER(G18)=TRUE,G18=INT(G18*100)/100=FALSE)),"Error","")</f>
        <v/>
      </c>
    </row>
    <row r="19" spans="2:9" s="38" customFormat="1" x14ac:dyDescent="0.3">
      <c r="B19" s="18" t="s">
        <v>172</v>
      </c>
      <c r="C19" s="23" t="s">
        <v>23</v>
      </c>
      <c r="D19" s="46" t="str">
        <f t="shared" si="0"/>
        <v>Sportski savez KS</v>
      </c>
      <c r="E19" s="46" t="str">
        <f t="shared" si="1"/>
        <v>Bosnia and Herzegovina</v>
      </c>
      <c r="F19" s="22" t="s">
        <v>389</v>
      </c>
      <c r="G19" s="39">
        <v>10000</v>
      </c>
      <c r="H19" s="40">
        <f t="shared" si="2"/>
        <v>10000</v>
      </c>
      <c r="I19" s="37" t="str">
        <f t="shared" si="3"/>
        <v/>
      </c>
    </row>
    <row r="20" spans="2:9" s="38" customFormat="1" x14ac:dyDescent="0.3">
      <c r="B20" s="18" t="s">
        <v>172</v>
      </c>
      <c r="C20" s="23" t="s">
        <v>22</v>
      </c>
      <c r="D20" s="46" t="str">
        <f t="shared" si="0"/>
        <v>Sportsko drustvo "Mornar"</v>
      </c>
      <c r="E20" s="46" t="str">
        <f t="shared" si="1"/>
        <v>Montenegro</v>
      </c>
      <c r="F20" s="22" t="s">
        <v>390</v>
      </c>
      <c r="G20" s="39">
        <v>10000</v>
      </c>
      <c r="H20" s="40">
        <f t="shared" si="2"/>
        <v>10000</v>
      </c>
      <c r="I20" s="37" t="str">
        <f t="shared" si="3"/>
        <v/>
      </c>
    </row>
    <row r="21" spans="2:9" s="38" customFormat="1" x14ac:dyDescent="0.3">
      <c r="B21" s="18" t="s">
        <v>172</v>
      </c>
      <c r="C21" s="23" t="s">
        <v>22</v>
      </c>
      <c r="D21" s="46" t="str">
        <f t="shared" si="0"/>
        <v>Sportsko drustvo "Mornar"</v>
      </c>
      <c r="E21" s="46" t="str">
        <f t="shared" si="1"/>
        <v>Montenegro</v>
      </c>
      <c r="F21" s="22" t="s">
        <v>391</v>
      </c>
      <c r="G21" s="39">
        <v>10000</v>
      </c>
      <c r="H21" s="40">
        <f t="shared" si="2"/>
        <v>10000</v>
      </c>
      <c r="I21" s="37" t="str">
        <f t="shared" si="3"/>
        <v/>
      </c>
    </row>
    <row r="22" spans="2:9" s="38" customFormat="1" x14ac:dyDescent="0.3">
      <c r="B22" s="18" t="s">
        <v>172</v>
      </c>
      <c r="C22" s="23" t="s">
        <v>22</v>
      </c>
      <c r="D22" s="46" t="str">
        <f t="shared" si="0"/>
        <v>Sportsko drustvo "Mornar"</v>
      </c>
      <c r="E22" s="46" t="str">
        <f t="shared" ref="E22" si="8">IFERROR(IF(OR(VLOOKUP(C22,PartnerN°Ref,4,FALSE)="Country not found",VLOOKUP(C22,PartnerN°Ref,3,FALSE)=0),"",VLOOKUP(C22,PartnerN°Ref,3,FALSE)),"")</f>
        <v>Montenegro</v>
      </c>
      <c r="F22" s="22" t="s">
        <v>396</v>
      </c>
      <c r="G22" s="39">
        <v>25000</v>
      </c>
      <c r="H22" s="40">
        <f t="shared" si="2"/>
        <v>25000</v>
      </c>
      <c r="I22" s="37" t="str">
        <f t="shared" ref="I22" si="9">IF(OR(COUNTIF(WorkPackage,B22)=0,COUNTIF(PartnerN°,C22)=0,D22="",COUNTIF(CountryEligEquip,E22)=0,F22="",ISNUMBER(G22)=FALSE,IF(ISNUMBER(G22)=TRUE,G22=INT(G22*100)/100=FALSE)),"Error","")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14" priority="422" operator="containsText" text="Error">
      <formula>NOT(ISERROR(SEARCH("Error",I13)))</formula>
    </cfRule>
  </conditionalFormatting>
  <conditionalFormatting sqref="D13:E14">
    <cfRule type="containsBlanks" dxfId="113" priority="417">
      <formula>LEN(TRIM(D13))=0</formula>
    </cfRule>
  </conditionalFormatting>
  <conditionalFormatting sqref="E13">
    <cfRule type="expression" dxfId="112" priority="339">
      <formula>COUNTIF(CountryEligEquip,E13)=0</formula>
    </cfRule>
  </conditionalFormatting>
  <conditionalFormatting sqref="E14">
    <cfRule type="expression" dxfId="111" priority="340">
      <formula>COUNTIF(CountryEligEquip,E14)=0</formula>
    </cfRule>
  </conditionalFormatting>
  <conditionalFormatting sqref="G13">
    <cfRule type="cellIs" dxfId="110" priority="68" operator="lessThanOrEqual">
      <formula>0</formula>
    </cfRule>
  </conditionalFormatting>
  <conditionalFormatting sqref="F13:G13">
    <cfRule type="containsBlanks" dxfId="109" priority="65">
      <formula>LEN(TRIM(F13))=0</formula>
    </cfRule>
  </conditionalFormatting>
  <conditionalFormatting sqref="G14">
    <cfRule type="cellIs" dxfId="108" priority="64" operator="lessThanOrEqual">
      <formula>0</formula>
    </cfRule>
  </conditionalFormatting>
  <conditionalFormatting sqref="F14:G14">
    <cfRule type="containsBlanks" dxfId="107" priority="63">
      <formula>LEN(TRIM(F14))=0</formula>
    </cfRule>
  </conditionalFormatting>
  <conditionalFormatting sqref="B13:C13">
    <cfRule type="containsBlanks" dxfId="106" priority="62">
      <formula>LEN(TRIM(B13))=0</formula>
    </cfRule>
  </conditionalFormatting>
  <conditionalFormatting sqref="B14:C14">
    <cfRule type="containsBlanks" dxfId="105" priority="61">
      <formula>LEN(TRIM(B14))=0</formula>
    </cfRule>
  </conditionalFormatting>
  <conditionalFormatting sqref="I15">
    <cfRule type="containsText" dxfId="104" priority="54" operator="containsText" text="Error">
      <formula>NOT(ISERROR(SEARCH("Error",I15)))</formula>
    </cfRule>
  </conditionalFormatting>
  <conditionalFormatting sqref="D15:E15">
    <cfRule type="containsBlanks" dxfId="103" priority="53">
      <formula>LEN(TRIM(D15))=0</formula>
    </cfRule>
  </conditionalFormatting>
  <conditionalFormatting sqref="E15">
    <cfRule type="expression" dxfId="102" priority="52">
      <formula>COUNTIF(CountryEligEquip,E15)=0</formula>
    </cfRule>
  </conditionalFormatting>
  <conditionalFormatting sqref="G15">
    <cfRule type="cellIs" dxfId="101" priority="51" operator="lessThanOrEqual">
      <formula>0</formula>
    </cfRule>
  </conditionalFormatting>
  <conditionalFormatting sqref="F15:G15">
    <cfRule type="containsBlanks" dxfId="100" priority="50">
      <formula>LEN(TRIM(F15))=0</formula>
    </cfRule>
  </conditionalFormatting>
  <conditionalFormatting sqref="B15:C15">
    <cfRule type="containsBlanks" dxfId="99" priority="49">
      <formula>LEN(TRIM(B15))=0</formula>
    </cfRule>
  </conditionalFormatting>
  <conditionalFormatting sqref="I17">
    <cfRule type="containsText" dxfId="98" priority="48" operator="containsText" text="Error">
      <formula>NOT(ISERROR(SEARCH("Error",I17)))</formula>
    </cfRule>
  </conditionalFormatting>
  <conditionalFormatting sqref="D17:E17">
    <cfRule type="containsBlanks" dxfId="97" priority="47">
      <formula>LEN(TRIM(D17))=0</formula>
    </cfRule>
  </conditionalFormatting>
  <conditionalFormatting sqref="E17">
    <cfRule type="expression" dxfId="96" priority="46">
      <formula>COUNTIF(CountryEligEquip,E17)=0</formula>
    </cfRule>
  </conditionalFormatting>
  <conditionalFormatting sqref="G17">
    <cfRule type="cellIs" dxfId="95" priority="45" operator="lessThanOrEqual">
      <formula>0</formula>
    </cfRule>
  </conditionalFormatting>
  <conditionalFormatting sqref="F17:G17">
    <cfRule type="containsBlanks" dxfId="94" priority="44">
      <formula>LEN(TRIM(F17))=0</formula>
    </cfRule>
  </conditionalFormatting>
  <conditionalFormatting sqref="B17:C17">
    <cfRule type="containsBlanks" dxfId="93" priority="43">
      <formula>LEN(TRIM(B17))=0</formula>
    </cfRule>
  </conditionalFormatting>
  <conditionalFormatting sqref="I19">
    <cfRule type="containsText" dxfId="92" priority="42" operator="containsText" text="Error">
      <formula>NOT(ISERROR(SEARCH("Error",I19)))</formula>
    </cfRule>
  </conditionalFormatting>
  <conditionalFormatting sqref="D19:E19">
    <cfRule type="containsBlanks" dxfId="91" priority="41">
      <formula>LEN(TRIM(D19))=0</formula>
    </cfRule>
  </conditionalFormatting>
  <conditionalFormatting sqref="E19">
    <cfRule type="expression" dxfId="90" priority="40">
      <formula>COUNTIF(CountryEligEquip,E19)=0</formula>
    </cfRule>
  </conditionalFormatting>
  <conditionalFormatting sqref="G19">
    <cfRule type="cellIs" dxfId="89" priority="39" operator="lessThanOrEqual">
      <formula>0</formula>
    </cfRule>
  </conditionalFormatting>
  <conditionalFormatting sqref="F19:G19">
    <cfRule type="containsBlanks" dxfId="88" priority="38">
      <formula>LEN(TRIM(F19))=0</formula>
    </cfRule>
  </conditionalFormatting>
  <conditionalFormatting sqref="B19:C19">
    <cfRule type="containsBlanks" dxfId="87" priority="37">
      <formula>LEN(TRIM(B19))=0</formula>
    </cfRule>
  </conditionalFormatting>
  <conditionalFormatting sqref="I20">
    <cfRule type="containsText" dxfId="86" priority="36" operator="containsText" text="Error">
      <formula>NOT(ISERROR(SEARCH("Error",I20)))</formula>
    </cfRule>
  </conditionalFormatting>
  <conditionalFormatting sqref="D20:E20">
    <cfRule type="containsBlanks" dxfId="85" priority="35">
      <formula>LEN(TRIM(D20))=0</formula>
    </cfRule>
  </conditionalFormatting>
  <conditionalFormatting sqref="E20">
    <cfRule type="expression" dxfId="84" priority="34">
      <formula>COUNTIF(CountryEligEquip,E20)=0</formula>
    </cfRule>
  </conditionalFormatting>
  <conditionalFormatting sqref="G20">
    <cfRule type="cellIs" dxfId="83" priority="33" operator="lessThanOrEqual">
      <formula>0</formula>
    </cfRule>
  </conditionalFormatting>
  <conditionalFormatting sqref="F20:G20">
    <cfRule type="containsBlanks" dxfId="82" priority="32">
      <formula>LEN(TRIM(F20))=0</formula>
    </cfRule>
  </conditionalFormatting>
  <conditionalFormatting sqref="B20:C20">
    <cfRule type="containsBlanks" dxfId="81" priority="31">
      <formula>LEN(TRIM(B20))=0</formula>
    </cfRule>
  </conditionalFormatting>
  <conditionalFormatting sqref="I21">
    <cfRule type="containsText" dxfId="80" priority="24" operator="containsText" text="Error">
      <formula>NOT(ISERROR(SEARCH("Error",I21)))</formula>
    </cfRule>
  </conditionalFormatting>
  <conditionalFormatting sqref="D21:E21">
    <cfRule type="containsBlanks" dxfId="79" priority="23">
      <formula>LEN(TRIM(D21))=0</formula>
    </cfRule>
  </conditionalFormatting>
  <conditionalFormatting sqref="E21">
    <cfRule type="expression" dxfId="78" priority="22">
      <formula>COUNTIF(CountryEligEquip,E21)=0</formula>
    </cfRule>
  </conditionalFormatting>
  <conditionalFormatting sqref="G21">
    <cfRule type="cellIs" dxfId="77" priority="21" operator="lessThanOrEqual">
      <formula>0</formula>
    </cfRule>
  </conditionalFormatting>
  <conditionalFormatting sqref="F21:G21">
    <cfRule type="containsBlanks" dxfId="76" priority="20">
      <formula>LEN(TRIM(F21))=0</formula>
    </cfRule>
  </conditionalFormatting>
  <conditionalFormatting sqref="B21:C21">
    <cfRule type="containsBlanks" dxfId="75" priority="19">
      <formula>LEN(TRIM(B21))=0</formula>
    </cfRule>
  </conditionalFormatting>
  <conditionalFormatting sqref="I16">
    <cfRule type="containsText" dxfId="74" priority="18" operator="containsText" text="Error">
      <formula>NOT(ISERROR(SEARCH("Error",I16)))</formula>
    </cfRule>
  </conditionalFormatting>
  <conditionalFormatting sqref="D16:E16">
    <cfRule type="containsBlanks" dxfId="73" priority="17">
      <formula>LEN(TRIM(D16))=0</formula>
    </cfRule>
  </conditionalFormatting>
  <conditionalFormatting sqref="E16">
    <cfRule type="expression" dxfId="72" priority="16">
      <formula>COUNTIF(CountryEligEquip,E16)=0</formula>
    </cfRule>
  </conditionalFormatting>
  <conditionalFormatting sqref="G16">
    <cfRule type="cellIs" dxfId="71" priority="15" operator="lessThanOrEqual">
      <formula>0</formula>
    </cfRule>
  </conditionalFormatting>
  <conditionalFormatting sqref="F16:G16">
    <cfRule type="containsBlanks" dxfId="70" priority="14">
      <formula>LEN(TRIM(F16))=0</formula>
    </cfRule>
  </conditionalFormatting>
  <conditionalFormatting sqref="B16:C16">
    <cfRule type="containsBlanks" dxfId="69" priority="13">
      <formula>LEN(TRIM(B16))=0</formula>
    </cfRule>
  </conditionalFormatting>
  <conditionalFormatting sqref="I22">
    <cfRule type="containsText" dxfId="68" priority="12" operator="containsText" text="Error">
      <formula>NOT(ISERROR(SEARCH("Error",I22)))</formula>
    </cfRule>
  </conditionalFormatting>
  <conditionalFormatting sqref="D22:E22">
    <cfRule type="containsBlanks" dxfId="67" priority="11">
      <formula>LEN(TRIM(D22))=0</formula>
    </cfRule>
  </conditionalFormatting>
  <conditionalFormatting sqref="E22">
    <cfRule type="expression" dxfId="66" priority="10">
      <formula>COUNTIF(CountryEligEquip,E22)=0</formula>
    </cfRule>
  </conditionalFormatting>
  <conditionalFormatting sqref="G22">
    <cfRule type="cellIs" dxfId="65" priority="9" operator="lessThanOrEqual">
      <formula>0</formula>
    </cfRule>
  </conditionalFormatting>
  <conditionalFormatting sqref="F22:G22">
    <cfRule type="containsBlanks" dxfId="64" priority="8">
      <formula>LEN(TRIM(F22))=0</formula>
    </cfRule>
  </conditionalFormatting>
  <conditionalFormatting sqref="B22:C22">
    <cfRule type="containsBlanks" dxfId="63" priority="7">
      <formula>LEN(TRIM(B22))=0</formula>
    </cfRule>
  </conditionalFormatting>
  <conditionalFormatting sqref="I18">
    <cfRule type="containsText" dxfId="62" priority="6" operator="containsText" text="Error">
      <formula>NOT(ISERROR(SEARCH("Error",I18)))</formula>
    </cfRule>
  </conditionalFormatting>
  <conditionalFormatting sqref="D18:E18">
    <cfRule type="containsBlanks" dxfId="61" priority="5">
      <formula>LEN(TRIM(D18))=0</formula>
    </cfRule>
  </conditionalFormatting>
  <conditionalFormatting sqref="E18">
    <cfRule type="expression" dxfId="60" priority="4">
      <formula>COUNTIF(CountryEligEquip,E18)=0</formula>
    </cfRule>
  </conditionalFormatting>
  <conditionalFormatting sqref="G18">
    <cfRule type="cellIs" dxfId="59" priority="3" operator="lessThanOrEqual">
      <formula>0</formula>
    </cfRule>
  </conditionalFormatting>
  <conditionalFormatting sqref="F18:G18">
    <cfRule type="containsBlanks" dxfId="58" priority="2">
      <formula>LEN(TRIM(F18))=0</formula>
    </cfRule>
  </conditionalFormatting>
  <conditionalFormatting sqref="B18:C18">
    <cfRule type="containsBlanks" dxfId="57" priority="1">
      <formula>LEN(TRIM(B18))=0</formula>
    </cfRule>
  </conditionalFormatting>
  <dataValidations xWindow="1807" yWindow="690" count="4">
    <dataValidation type="custom" allowBlank="1" showInputMessage="1" showErrorMessage="1" error="Format error (2 decimals only)" prompt="Please encode amount (2 decimals only)" sqref="G13:G22">
      <formula1>G13=INT(G13*100)/100</formula1>
    </dataValidation>
    <dataValidation allowBlank="1" showInputMessage="1" showErrorMessage="1" error="Please encode Nature, type and specifications" prompt="Please encode Nature, type and specifications" sqref="F13:F22"/>
    <dataValidation type="list" allowBlank="1" showInputMessage="1" showErrorMessage="1" error="Click arrow to select Work Package" prompt="Click arrow to select Work Package" sqref="B13:B22">
      <formula1>WorkPackage</formula1>
    </dataValidation>
    <dataValidation type="list" allowBlank="1" showInputMessage="1" showErrorMessage="1" error="Click arrow to select Partner N°" prompt="Click arrow to select Partner N°" sqref="C13:C22">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D1" zoomScale="70" zoomScaleNormal="70" zoomScaleSheetLayoutView="55" workbookViewId="0">
      <pane ySplit="13" topLeftCell="A14" activePane="bottomLeft" state="frozen"/>
      <selection pane="bottomLeft" activeCell="G17" sqref="G17"/>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0" t="s">
        <v>186</v>
      </c>
      <c r="C2" s="160"/>
      <c r="D2" s="160"/>
      <c r="E2" s="160"/>
      <c r="F2" s="160"/>
      <c r="G2" s="160"/>
      <c r="H2" s="160"/>
      <c r="I2" s="160"/>
    </row>
    <row r="3" spans="2:9" s="24" customFormat="1" ht="8.1" customHeight="1" x14ac:dyDescent="0.35">
      <c r="B3" s="141"/>
      <c r="C3" s="142"/>
      <c r="D3" s="142"/>
      <c r="E3" s="142"/>
      <c r="F3" s="142"/>
      <c r="G3" s="142"/>
      <c r="H3" s="142"/>
      <c r="I3" s="143"/>
    </row>
    <row r="4" spans="2:9" s="24" customFormat="1" ht="9.9" customHeight="1" x14ac:dyDescent="0.35">
      <c r="B4" s="187" t="s">
        <v>184</v>
      </c>
      <c r="C4" s="190">
        <f>SUM(H:H)</f>
        <v>88000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
      <c r="B14" s="18" t="s">
        <v>173</v>
      </c>
      <c r="C14" s="23" t="s">
        <v>12</v>
      </c>
      <c r="D14" s="46" t="str">
        <f>IFERROR(IF(VLOOKUP(C14,PartnerN°Ref,2,FALSE)=0,"",VLOOKUP(C14,PartnerN°Ref,2,FALSE)),"")</f>
        <v>Iron Sport doo</v>
      </c>
      <c r="E14" s="46" t="str">
        <f>IFERROR(IF(OR(VLOOKUP(C14,PartnerN°Ref,4,FALSE)="Country not found",VLOOKUP(C14,PartnerN°Ref,3,FALSE)=0),"",VLOOKUP(C14,PartnerN°Ref,3,FALSE)),"")</f>
        <v>Serbia</v>
      </c>
      <c r="F14" s="22" t="s">
        <v>397</v>
      </c>
      <c r="G14" s="39">
        <v>18000</v>
      </c>
      <c r="H14" s="40">
        <f>IF(I14="Error",0,ROUND(G14,2))</f>
        <v>18000</v>
      </c>
      <c r="I14" s="37" t="str">
        <f>IF(OR(COUNTIF(WorkPackage,B14)=0,COUNTIF(PartnerN°,C14)=0,D14="",COUNTIF(CountryALL,E14)=0,F14="",ISNUMBER(G14)=FALSE,IF(ISNUMBER(G14)=TRUE,G14=INT(G14*100)/100=FALSE)),"Error","")</f>
        <v/>
      </c>
    </row>
    <row r="15" spans="2:9" s="38" customFormat="1" x14ac:dyDescent="0.3">
      <c r="B15" s="18" t="s">
        <v>319</v>
      </c>
      <c r="C15" s="23" t="s">
        <v>12</v>
      </c>
      <c r="D15" s="46" t="str">
        <f>IFERROR(IF(VLOOKUP(C15,PartnerN°Ref,2,FALSE)=0,"",VLOOKUP(C15,PartnerN°Ref,2,FALSE)),"")</f>
        <v>Iron Sport doo</v>
      </c>
      <c r="E15" s="46" t="str">
        <f>IFERROR(IF(OR(VLOOKUP(C15,PartnerN°Ref,4,FALSE)="Country not found",VLOOKUP(C15,PartnerN°Ref,3,FALSE)=0),"",VLOOKUP(C15,PartnerN°Ref,3,FALSE)),"")</f>
        <v>Serbia</v>
      </c>
      <c r="F15" s="22" t="s">
        <v>398</v>
      </c>
      <c r="G15" s="39">
        <v>22000</v>
      </c>
      <c r="H15" s="40">
        <f>IF(I15="Error",0,ROUND(G15,2))</f>
        <v>22000</v>
      </c>
      <c r="I15" s="37" t="str">
        <f>IF(OR(COUNTIF(WorkPackage,B15)=0,COUNTIF(PartnerN°,C15)=0,D15="",COUNTIF(CountryALL,E15)=0,F15="",ISNUMBER(G15)=FALSE,IF(ISNUMBER(G15)=TRUE,G15=INT(G15*100)/100=FALSE)),"Error","")</f>
        <v/>
      </c>
    </row>
    <row r="16" spans="2:9" s="38" customFormat="1" x14ac:dyDescent="0.3">
      <c r="B16" s="18" t="s">
        <v>319</v>
      </c>
      <c r="C16" s="23" t="s">
        <v>10</v>
      </c>
      <c r="D16" s="46" t="str">
        <f>IFERROR(IF(VLOOKUP(C16,PartnerN°Ref,2,FALSE)=0,"",VLOOKUP(C16,PartnerN°Ref,2,FALSE)),"")</f>
        <v>Predškolska ustanova "Mladost"</v>
      </c>
      <c r="E16" s="46" t="str">
        <f>IFERROR(IF(OR(VLOOKUP(C16,PartnerN°Ref,4,FALSE)="Country not found",VLOOKUP(C16,PartnerN°Ref,3,FALSE)=0),"",VLOOKUP(C16,PartnerN°Ref,3,FALSE)),"")</f>
        <v>Serbia</v>
      </c>
      <c r="F16" s="22" t="s">
        <v>399</v>
      </c>
      <c r="G16" s="39">
        <v>23000</v>
      </c>
      <c r="H16" s="40">
        <f>IF(I16="Error",0,ROUND(G16,2))</f>
        <v>23000</v>
      </c>
      <c r="I16" s="37" t="str">
        <f>IF(OR(COUNTIF(WorkPackage,B16)=0,COUNTIF(PartnerN°,C16)=0,D16="",COUNTIF(CountryALL,E16)=0,F16="",ISNUMBER(G16)=FALSE,IF(ISNUMBER(G16)=TRUE,G16=INT(G16*100)/100=FALSE)),"Error","")</f>
        <v/>
      </c>
    </row>
    <row r="17" spans="2:9" s="38" customFormat="1" x14ac:dyDescent="0.3">
      <c r="B17" s="18" t="s">
        <v>174</v>
      </c>
      <c r="C17" s="23" t="s">
        <v>12</v>
      </c>
      <c r="D17" s="46" t="str">
        <f>IFERROR(IF(VLOOKUP(C17,PartnerN°Ref,2,FALSE)=0,"",VLOOKUP(C17,PartnerN°Ref,2,FALSE)),"")</f>
        <v>Iron Sport doo</v>
      </c>
      <c r="E17" s="46" t="str">
        <f>IFERROR(IF(OR(VLOOKUP(C17,PartnerN°Ref,4,FALSE)="Country not found",VLOOKUP(C17,PartnerN°Ref,3,FALSE)=0),"",VLOOKUP(C17,PartnerN°Ref,3,FALSE)),"")</f>
        <v>Serbia</v>
      </c>
      <c r="F17" s="22" t="s">
        <v>400</v>
      </c>
      <c r="G17" s="39">
        <v>25000</v>
      </c>
      <c r="H17" s="40">
        <f>IF(I17="Error",0,ROUND(G17,2))</f>
        <v>25000</v>
      </c>
      <c r="I17" s="37"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56" priority="204" operator="containsText" text="Error">
      <formula>NOT(ISERROR(SEARCH("Error",I13)))</formula>
    </cfRule>
  </conditionalFormatting>
  <conditionalFormatting sqref="D13:E14">
    <cfRule type="containsBlanks" dxfId="55" priority="198">
      <formula>LEN(TRIM(D13))=0</formula>
    </cfRule>
  </conditionalFormatting>
  <conditionalFormatting sqref="G13">
    <cfRule type="cellIs" dxfId="54" priority="23" operator="lessThanOrEqual">
      <formula>0</formula>
    </cfRule>
  </conditionalFormatting>
  <conditionalFormatting sqref="F13:G13">
    <cfRule type="containsBlanks" dxfId="53" priority="20">
      <formula>LEN(TRIM(F13))=0</formula>
    </cfRule>
  </conditionalFormatting>
  <conditionalFormatting sqref="G14">
    <cfRule type="cellIs" dxfId="52" priority="19" operator="lessThanOrEqual">
      <formula>0</formula>
    </cfRule>
  </conditionalFormatting>
  <conditionalFormatting sqref="F14:G14">
    <cfRule type="containsBlanks" dxfId="51" priority="18">
      <formula>LEN(TRIM(F14))=0</formula>
    </cfRule>
  </conditionalFormatting>
  <conditionalFormatting sqref="B13:C13">
    <cfRule type="containsBlanks" dxfId="50" priority="17">
      <formula>LEN(TRIM(B13))=0</formula>
    </cfRule>
  </conditionalFormatting>
  <conditionalFormatting sqref="B14:C14">
    <cfRule type="containsBlanks" dxfId="49" priority="16">
      <formula>LEN(TRIM(B14))=0</formula>
    </cfRule>
  </conditionalFormatting>
  <conditionalFormatting sqref="I15">
    <cfRule type="containsText" dxfId="48" priority="15" operator="containsText" text="Error">
      <formula>NOT(ISERROR(SEARCH("Error",I15)))</formula>
    </cfRule>
  </conditionalFormatting>
  <conditionalFormatting sqref="D15:E15">
    <cfRule type="containsBlanks" dxfId="47" priority="14">
      <formula>LEN(TRIM(D15))=0</formula>
    </cfRule>
  </conditionalFormatting>
  <conditionalFormatting sqref="G15">
    <cfRule type="cellIs" dxfId="46" priority="13" operator="lessThanOrEqual">
      <formula>0</formula>
    </cfRule>
  </conditionalFormatting>
  <conditionalFormatting sqref="F15:G15">
    <cfRule type="containsBlanks" dxfId="45" priority="12">
      <formula>LEN(TRIM(F15))=0</formula>
    </cfRule>
  </conditionalFormatting>
  <conditionalFormatting sqref="B15:C15">
    <cfRule type="containsBlanks" dxfId="44" priority="11">
      <formula>LEN(TRIM(B15))=0</formula>
    </cfRule>
  </conditionalFormatting>
  <conditionalFormatting sqref="I16">
    <cfRule type="containsText" dxfId="43" priority="10" operator="containsText" text="Error">
      <formula>NOT(ISERROR(SEARCH("Error",I16)))</formula>
    </cfRule>
  </conditionalFormatting>
  <conditionalFormatting sqref="D16:E16">
    <cfRule type="containsBlanks" dxfId="42" priority="9">
      <formula>LEN(TRIM(D16))=0</formula>
    </cfRule>
  </conditionalFormatting>
  <conditionalFormatting sqref="G16">
    <cfRule type="cellIs" dxfId="41" priority="8" operator="lessThanOrEqual">
      <formula>0</formula>
    </cfRule>
  </conditionalFormatting>
  <conditionalFormatting sqref="F16:G16">
    <cfRule type="containsBlanks" dxfId="40" priority="7">
      <formula>LEN(TRIM(F16))=0</formula>
    </cfRule>
  </conditionalFormatting>
  <conditionalFormatting sqref="B16:C16">
    <cfRule type="containsBlanks" dxfId="39" priority="6">
      <formula>LEN(TRIM(B16))=0</formula>
    </cfRule>
  </conditionalFormatting>
  <conditionalFormatting sqref="I17">
    <cfRule type="containsText" dxfId="38" priority="5" operator="containsText" text="Error">
      <formula>NOT(ISERROR(SEARCH("Error",I17)))</formula>
    </cfRule>
  </conditionalFormatting>
  <conditionalFormatting sqref="D17:E17">
    <cfRule type="containsBlanks" dxfId="37" priority="4">
      <formula>LEN(TRIM(D17))=0</formula>
    </cfRule>
  </conditionalFormatting>
  <conditionalFormatting sqref="G17">
    <cfRule type="cellIs" dxfId="36" priority="3" operator="lessThanOrEqual">
      <formula>0</formula>
    </cfRule>
  </conditionalFormatting>
  <conditionalFormatting sqref="F17:G17">
    <cfRule type="containsBlanks" dxfId="35" priority="2">
      <formula>LEN(TRIM(F17))=0</formula>
    </cfRule>
  </conditionalFormatting>
  <conditionalFormatting sqref="B17:C17">
    <cfRule type="containsBlanks" dxfId="34"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0"/>
  <sheetViews>
    <sheetView showGridLines="0" tabSelected="1" topLeftCell="D1" zoomScale="70" zoomScaleNormal="70" zoomScaleSheetLayoutView="55" workbookViewId="0">
      <pane ySplit="13" topLeftCell="A14" activePane="bottomLeft" state="frozen"/>
      <selection pane="bottomLeft" activeCell="F15" sqref="F15"/>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44" t="s">
        <v>199</v>
      </c>
      <c r="C2" s="144"/>
      <c r="D2" s="144"/>
      <c r="E2" s="144"/>
      <c r="F2" s="144"/>
      <c r="G2" s="144"/>
      <c r="H2" s="144"/>
      <c r="I2" s="144"/>
      <c r="J2" s="144"/>
    </row>
    <row r="3" spans="2:10" s="24" customFormat="1" ht="8.1" customHeight="1" x14ac:dyDescent="0.35">
      <c r="B3" s="141"/>
      <c r="C3" s="142"/>
      <c r="D3" s="142"/>
      <c r="E3" s="142"/>
      <c r="F3" s="142"/>
      <c r="G3" s="142"/>
      <c r="H3" s="142"/>
      <c r="I3" s="142"/>
      <c r="J3" s="143"/>
    </row>
    <row r="4" spans="2:10" s="24" customFormat="1" ht="9.9" customHeight="1" x14ac:dyDescent="0.35">
      <c r="B4" s="199" t="s">
        <v>184</v>
      </c>
      <c r="C4" s="196">
        <f>SUM(I:I)</f>
        <v>123000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3">
      <c r="B13" s="23"/>
      <c r="C13" s="46" t="str">
        <f t="shared" ref="C13:C16" si="0">IFERROR(IF(VLOOKUP(B13,PartnerN°Ref,2,FALSE)=0,"",VLOOKUP(B13,PartnerN°Ref,2,FALSE)),"")</f>
        <v/>
      </c>
      <c r="D13" s="46" t="str">
        <f t="shared" ref="D13:D16" si="1">IFERROR(IF(OR(VLOOKUP(B13,PartnerN°Ref,4,FALSE)="Country not found",VLOOKUP(B13,PartnerN°Ref,3,FALSE)=0),"",VLOOKUP(B13,PartnerN°Ref,3,FALSE)),"")</f>
        <v/>
      </c>
      <c r="E13" s="22"/>
      <c r="F13" s="22"/>
      <c r="G13" s="22"/>
      <c r="H13" s="39">
        <v>0</v>
      </c>
      <c r="I13" s="40">
        <f t="shared" ref="I13:I16" si="2">IF(J13="Error",0,ROUND(H13,2))</f>
        <v>0</v>
      </c>
      <c r="J13" s="37" t="str">
        <f t="shared" ref="J13:J16" si="3">IF(OR(COUNTIF(PartnerN°,B13)=0,C13="",COUNTIF(CountryALL,D13)=0,E13="",F13="",G13="",ISNUMBER(H13)=FALSE,IF(ISNUMBER(H13)=TRUE,H13=INT(H13*100)/100=FALSE)),"Error","")</f>
        <v>Error</v>
      </c>
    </row>
    <row r="14" spans="2:10" s="38" customFormat="1" ht="36" x14ac:dyDescent="0.3">
      <c r="B14" s="23" t="s">
        <v>20</v>
      </c>
      <c r="C14" s="46" t="str">
        <f t="shared" si="0"/>
        <v>TAFISA</v>
      </c>
      <c r="D14" s="46" t="str">
        <f t="shared" si="1"/>
        <v>Germany</v>
      </c>
      <c r="E14" s="22" t="s">
        <v>403</v>
      </c>
      <c r="F14" s="22" t="s">
        <v>405</v>
      </c>
      <c r="G14" s="22" t="s">
        <v>407</v>
      </c>
      <c r="H14" s="39">
        <v>37500</v>
      </c>
      <c r="I14" s="40">
        <f t="shared" si="2"/>
        <v>37500</v>
      </c>
      <c r="J14" s="37" t="str">
        <f t="shared" si="3"/>
        <v/>
      </c>
    </row>
    <row r="15" spans="2:10" s="38" customFormat="1" ht="36" x14ac:dyDescent="0.3">
      <c r="B15" s="23" t="s">
        <v>24</v>
      </c>
      <c r="C15" s="46" t="str">
        <f t="shared" si="0"/>
        <v>Škola sporta "FC Porto"</v>
      </c>
      <c r="D15" s="46" t="str">
        <f t="shared" si="1"/>
        <v>Portugal</v>
      </c>
      <c r="E15" s="22" t="s">
        <v>404</v>
      </c>
      <c r="F15" s="22" t="s">
        <v>410</v>
      </c>
      <c r="G15" s="22" t="s">
        <v>408</v>
      </c>
      <c r="H15" s="39">
        <v>37500</v>
      </c>
      <c r="I15" s="40">
        <f t="shared" si="2"/>
        <v>37500</v>
      </c>
      <c r="J15" s="37" t="str">
        <f t="shared" si="3"/>
        <v/>
      </c>
    </row>
    <row r="16" spans="2:10" s="38" customFormat="1" x14ac:dyDescent="0.3">
      <c r="B16" s="23" t="s">
        <v>18</v>
      </c>
      <c r="C16" s="46" t="str">
        <f t="shared" si="0"/>
        <v>Federazione Italiana Sport per Tutti</v>
      </c>
      <c r="D16" s="46" t="str">
        <f t="shared" si="1"/>
        <v>Italy</v>
      </c>
      <c r="E16" s="22" t="s">
        <v>404</v>
      </c>
      <c r="F16" s="22" t="s">
        <v>406</v>
      </c>
      <c r="G16" s="22" t="s">
        <v>409</v>
      </c>
      <c r="H16" s="39">
        <v>48000</v>
      </c>
      <c r="I16" s="40">
        <f t="shared" si="2"/>
        <v>48000</v>
      </c>
      <c r="J16" s="37" t="str">
        <f t="shared" si="3"/>
        <v/>
      </c>
    </row>
    <row r="18" spans="2:2" x14ac:dyDescent="0.35">
      <c r="B18" s="43" t="s">
        <v>219</v>
      </c>
    </row>
    <row r="19" spans="2:2" x14ac:dyDescent="0.35">
      <c r="B19" s="43" t="s">
        <v>220</v>
      </c>
    </row>
    <row r="20" spans="2:2" x14ac:dyDescent="0.35">
      <c r="B20" s="43" t="s">
        <v>221</v>
      </c>
    </row>
  </sheetData>
  <sheetProtection algorithmName="SHA-512" hashValue="DBY1yW4i+i4K2ErHfnGSr2hUiTm6xosAbavegJTVfDOh1WwTyWBDyzLj4rWACIsp+AwmrINhCbWJl8Hkhw5xTQ==" saltValue="xFZ+ICaSp0XQxdd3XbnQFQ=="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3" priority="169" operator="containsText" text="Error">
      <formula>NOT(ISERROR(SEARCH("Error",J13)))</formula>
    </cfRule>
  </conditionalFormatting>
  <conditionalFormatting sqref="C13:D14">
    <cfRule type="containsBlanks" dxfId="32" priority="162">
      <formula>LEN(TRIM(C13))=0</formula>
    </cfRule>
  </conditionalFormatting>
  <conditionalFormatting sqref="H13">
    <cfRule type="cellIs" dxfId="31" priority="33" operator="lessThanOrEqual">
      <formula>0</formula>
    </cfRule>
  </conditionalFormatting>
  <conditionalFormatting sqref="E13:H13">
    <cfRule type="containsBlanks" dxfId="30" priority="30">
      <formula>LEN(TRIM(E13))=0</formula>
    </cfRule>
  </conditionalFormatting>
  <conditionalFormatting sqref="H14">
    <cfRule type="cellIs" dxfId="29" priority="29" operator="lessThanOrEqual">
      <formula>0</formula>
    </cfRule>
  </conditionalFormatting>
  <conditionalFormatting sqref="E14:H14">
    <cfRule type="containsBlanks" dxfId="28" priority="28">
      <formula>LEN(TRIM(E14))=0</formula>
    </cfRule>
  </conditionalFormatting>
  <conditionalFormatting sqref="B13">
    <cfRule type="containsBlanks" dxfId="27" priority="27">
      <formula>LEN(TRIM(B13))=0</formula>
    </cfRule>
  </conditionalFormatting>
  <conditionalFormatting sqref="B14">
    <cfRule type="containsBlanks" dxfId="26" priority="26">
      <formula>LEN(TRIM(B14))=0</formula>
    </cfRule>
  </conditionalFormatting>
  <conditionalFormatting sqref="J15">
    <cfRule type="containsText" dxfId="25" priority="25" operator="containsText" text="Error">
      <formula>NOT(ISERROR(SEARCH("Error",J15)))</formula>
    </cfRule>
  </conditionalFormatting>
  <conditionalFormatting sqref="C15:D15">
    <cfRule type="containsBlanks" dxfId="24" priority="24">
      <formula>LEN(TRIM(C15))=0</formula>
    </cfRule>
  </conditionalFormatting>
  <conditionalFormatting sqref="H15">
    <cfRule type="cellIs" dxfId="23" priority="23" operator="lessThanOrEqual">
      <formula>0</formula>
    </cfRule>
  </conditionalFormatting>
  <conditionalFormatting sqref="E15:H15">
    <cfRule type="containsBlanks" dxfId="22" priority="22">
      <formula>LEN(TRIM(E15))=0</formula>
    </cfRule>
  </conditionalFormatting>
  <conditionalFormatting sqref="B15">
    <cfRule type="containsBlanks" dxfId="21" priority="21">
      <formula>LEN(TRIM(B15))=0</formula>
    </cfRule>
  </conditionalFormatting>
  <conditionalFormatting sqref="J16">
    <cfRule type="containsText" dxfId="20" priority="20" operator="containsText" text="Error">
      <formula>NOT(ISERROR(SEARCH("Error",J16)))</formula>
    </cfRule>
  </conditionalFormatting>
  <conditionalFormatting sqref="C16:D16">
    <cfRule type="containsBlanks" dxfId="19" priority="19">
      <formula>LEN(TRIM(C16))=0</formula>
    </cfRule>
  </conditionalFormatting>
  <conditionalFormatting sqref="H16">
    <cfRule type="cellIs" dxfId="18" priority="18" operator="lessThanOrEqual">
      <formula>0</formula>
    </cfRule>
  </conditionalFormatting>
  <conditionalFormatting sqref="E16:H16">
    <cfRule type="containsBlanks" dxfId="17" priority="17">
      <formula>LEN(TRIM(E16))=0</formula>
    </cfRule>
  </conditionalFormatting>
  <conditionalFormatting sqref="B16">
    <cfRule type="containsBlanks" dxfId="16" priority="16">
      <formula>LEN(TRIM(B16))=0</formula>
    </cfRule>
  </conditionalFormatting>
  <dataValidations count="5">
    <dataValidation allowBlank="1" showInputMessage="1" showErrorMessage="1" error="Please encode Item" prompt="Please encode Item" sqref="E13:E16"/>
    <dataValidation type="custom" allowBlank="1" showInputMessage="1" showErrorMessage="1" error="Format error (2 decimals only)" prompt="Please encode amount (2 decimals only)" sqref="H13:H16">
      <formula1>H13=INT(H13*100)/100</formula1>
    </dataValidation>
    <dataValidation allowBlank="1" showInputMessage="1" showErrorMessage="1" error="Please encode Justification" prompt="Please encode Justification" sqref="G13:G16"/>
    <dataValidation allowBlank="1" showInputMessage="1" showErrorMessage="1" error="Please encode Source of Co-financing" prompt="Please encode Source of Co-financing" sqref="F13:F16"/>
    <dataValidation type="list" allowBlank="1" showInputMessage="1" showErrorMessage="1" error="Click arrow to select Partner n°" prompt="Click arrow to select Partner n°" sqref="B13:B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topLeftCell="A1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44" t="s">
        <v>178</v>
      </c>
      <c r="C2" s="144"/>
      <c r="D2" s="144"/>
      <c r="E2" s="144"/>
      <c r="F2" s="144"/>
      <c r="G2" s="144"/>
      <c r="H2" s="144"/>
      <c r="I2" s="144"/>
    </row>
    <row r="3" spans="2:9" s="24" customFormat="1" ht="8.1" customHeight="1" x14ac:dyDescent="0.35">
      <c r="B3" s="212"/>
      <c r="C3" s="212"/>
      <c r="D3" s="212"/>
      <c r="E3" s="212"/>
      <c r="F3" s="212"/>
      <c r="G3" s="212"/>
      <c r="H3" s="212"/>
      <c r="I3" s="212"/>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11374</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18000</v>
      </c>
      <c r="H5" s="26">
        <f>SUMIF(' 2-3-6. Travel&amp;Costs of Stay'!B:B,B5,' 2-3-6. Travel&amp;Costs of Stay'!N:N)</f>
        <v>0</v>
      </c>
      <c r="I5" s="27">
        <f t="shared" ref="I5:I10" si="0">SUM(C5:H5)</f>
        <v>29374</v>
      </c>
    </row>
    <row r="6" spans="2:9" ht="16.5" customHeight="1" x14ac:dyDescent="0.35">
      <c r="B6" s="83" t="str">
        <f>'Unit Costs &amp; Funding Rule'!P11</f>
        <v>Development</v>
      </c>
      <c r="C6" s="25">
        <f>SUMIF('1. Staff costs'!B:B,B6,'1. Staff costs'!S:S)</f>
        <v>249234</v>
      </c>
      <c r="D6" s="25">
        <f>SUMIF(' 2-3-6. Travel&amp;Costs of Stay'!B:B,B6,' 2-3-6. Travel&amp;Costs of Stay'!O:O)</f>
        <v>0</v>
      </c>
      <c r="E6" s="26">
        <f>SUMIF(' 2-3-6. Travel&amp;Costs of Stay'!B:B,B6,' 2-3-6. Travel&amp;Costs of Stay'!P:P)</f>
        <v>135500</v>
      </c>
      <c r="F6" s="26">
        <f>SUMIF('4. Equipment Costs'!B:B,B6,'4. Equipment Costs'!H:H)</f>
        <v>284000</v>
      </c>
      <c r="G6" s="26">
        <f>SUMIF('5. Subcontracting Costs'!B:B,B6,'5. Subcontracting Costs'!H:H)</f>
        <v>0</v>
      </c>
      <c r="H6" s="26">
        <f>SUMIF(' 2-3-6. Travel&amp;Costs of Stay'!B:B,B6,' 2-3-6. Travel&amp;Costs of Stay'!N:N)</f>
        <v>63200</v>
      </c>
      <c r="I6" s="27">
        <f t="shared" si="0"/>
        <v>731934</v>
      </c>
    </row>
    <row r="7" spans="2:9" ht="16.5" customHeight="1" x14ac:dyDescent="0.35">
      <c r="B7" s="83" t="str">
        <f>'Unit Costs &amp; Funding Rule'!P12</f>
        <v>Quality Plan</v>
      </c>
      <c r="C7" s="25">
        <f>SUMIF('1. Staff costs'!B:B,B7,'1. Staff costs'!S:S)</f>
        <v>3308</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3308</v>
      </c>
    </row>
    <row r="8" spans="2:9" ht="16.5" customHeight="1" x14ac:dyDescent="0.35">
      <c r="B8" s="83" t="str">
        <f>'Unit Costs &amp; Funding Rule'!P13</f>
        <v>Dissemination &amp; Exploitation</v>
      </c>
      <c r="C8" s="25">
        <f>SUMIF('1. Staff costs'!B:B,B8,'1. Staff costs'!S:S)</f>
        <v>9192</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45000</v>
      </c>
      <c r="H8" s="26">
        <f>SUMIF(' 2-3-6. Travel&amp;Costs of Stay'!B:B,B8,' 2-3-6. Travel&amp;Costs of Stay'!N:N)</f>
        <v>0</v>
      </c>
      <c r="I8" s="27">
        <f t="shared" si="0"/>
        <v>54192</v>
      </c>
    </row>
    <row r="9" spans="2:9" ht="16.5" customHeight="1" x14ac:dyDescent="0.35">
      <c r="B9" s="83" t="str">
        <f>'Unit Costs &amp; Funding Rule'!P14</f>
        <v>Management</v>
      </c>
      <c r="C9" s="25">
        <f>SUMIF('1. Staff costs'!B:B,B9,'1. Staff costs'!S:S)</f>
        <v>24500</v>
      </c>
      <c r="D9" s="25">
        <f>SUMIF(' 2-3-6. Travel&amp;Costs of Stay'!B:B,B9,' 2-3-6. Travel&amp;Costs of Stay'!O:O)</f>
        <v>0</v>
      </c>
      <c r="E9" s="26">
        <f>SUMIF(' 2-3-6. Travel&amp;Costs of Stay'!B:B,B9,' 2-3-6. Travel&amp;Costs of Stay'!P:P)</f>
        <v>67200</v>
      </c>
      <c r="F9" s="26">
        <f>SUMIF('4. Equipment Costs'!B:B,B9,'4. Equipment Costs'!H:H)</f>
        <v>0</v>
      </c>
      <c r="G9" s="26">
        <f>SUMIF('5. Subcontracting Costs'!B:B,B9,'5. Subcontracting Costs'!H:H)</f>
        <v>25000</v>
      </c>
      <c r="H9" s="26">
        <f>SUMIF(' 2-3-6. Travel&amp;Costs of Stay'!B:B,B9,' 2-3-6. Travel&amp;Costs of Stay'!N:N)</f>
        <v>24000</v>
      </c>
      <c r="I9" s="27">
        <f t="shared" si="0"/>
        <v>140700</v>
      </c>
    </row>
    <row r="10" spans="2:9" x14ac:dyDescent="0.35">
      <c r="B10" s="47" t="s">
        <v>1</v>
      </c>
      <c r="C10" s="27">
        <f t="shared" ref="C10:F10" si="1">SUM(C5:C9)</f>
        <v>297608</v>
      </c>
      <c r="D10" s="27">
        <f t="shared" si="1"/>
        <v>0</v>
      </c>
      <c r="E10" s="27">
        <f t="shared" si="1"/>
        <v>202700</v>
      </c>
      <c r="F10" s="27">
        <f t="shared" si="1"/>
        <v>284000</v>
      </c>
      <c r="G10" s="27">
        <f>SUM(G5:G9)</f>
        <v>88000</v>
      </c>
      <c r="H10" s="27">
        <f>SUM(H5:H9)</f>
        <v>87200</v>
      </c>
      <c r="I10" s="21">
        <f t="shared" si="0"/>
        <v>959508</v>
      </c>
    </row>
    <row r="11" spans="2:9" ht="20.100000000000001" customHeight="1" x14ac:dyDescent="0.35">
      <c r="B11" s="211"/>
      <c r="C11" s="211"/>
      <c r="D11" s="211"/>
      <c r="E11" s="211"/>
      <c r="F11" s="211"/>
      <c r="G11" s="211"/>
      <c r="H11" s="211"/>
      <c r="I11" s="211"/>
    </row>
    <row r="12" spans="2:9" ht="30" customHeight="1" x14ac:dyDescent="0.35">
      <c r="B12" s="144" t="s">
        <v>203</v>
      </c>
      <c r="C12" s="144"/>
      <c r="D12" s="144"/>
      <c r="E12" s="144"/>
      <c r="F12" s="144"/>
      <c r="G12" s="144"/>
      <c r="H12" s="144"/>
      <c r="I12" s="144"/>
    </row>
    <row r="13" spans="2:9" ht="8.1" customHeight="1" x14ac:dyDescent="0.35">
      <c r="B13" s="209"/>
      <c r="C13" s="209"/>
      <c r="D13" s="209"/>
      <c r="E13" s="209"/>
      <c r="F13" s="209"/>
      <c r="G13" s="209"/>
      <c r="H13" s="209"/>
      <c r="I13" s="209"/>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259878</v>
      </c>
      <c r="D15" s="25">
        <f>SUMIF(Overview!$E$27:$E$81,B15,Overview!$G$27:$G$81)</f>
        <v>0</v>
      </c>
      <c r="E15" s="25">
        <f>SUMIF(Overview!$E$27:$E$81,B15,Overview!$H$27:$H$81)</f>
        <v>191500</v>
      </c>
      <c r="F15" s="25">
        <f>SUMIF(Overview!$E$27:$E$81,B15,Overview!$I$27:$I$81)</f>
        <v>0</v>
      </c>
      <c r="G15" s="25">
        <f>SUMIF(Overview!$E$27:$E$81,B15,Overview!$J$27:$J$81)</f>
        <v>88000</v>
      </c>
      <c r="H15" s="25">
        <f>SUMIF(Overview!$E$27:$E$81,B15,Overview!$K$27:$K$81)</f>
        <v>83200</v>
      </c>
      <c r="I15" s="27">
        <f>SUM(C15:H15)</f>
        <v>622578</v>
      </c>
    </row>
    <row r="16" spans="2:9" x14ac:dyDescent="0.35">
      <c r="B16" s="83" t="s">
        <v>197</v>
      </c>
      <c r="C16" s="25">
        <f>SUMIF(Overview!$E$27:$E$81,B16,Overview!$F$27:$F$81)</f>
        <v>37730</v>
      </c>
      <c r="D16" s="25">
        <f>SUMIF(Overview!$E$27:$E$81,B16,Overview!$G$27:$G$81)</f>
        <v>0</v>
      </c>
      <c r="E16" s="25">
        <f>SUMIF(Overview!$E$27:$E$81,B16,Overview!$H$27:$H$81)</f>
        <v>11200</v>
      </c>
      <c r="F16" s="25">
        <f>SUMIF(Overview!$E$27:$E$81,B16,Overview!$I$27:$I$81)</f>
        <v>284000</v>
      </c>
      <c r="G16" s="25">
        <f>SUMIF(Overview!$E$27:$E$81,B16,Overview!$J$27:$J$81)</f>
        <v>0</v>
      </c>
      <c r="H16" s="25">
        <f>SUMIF(Overview!$E$27:$E$81,B16,Overview!$K$27:$K$81)</f>
        <v>4000</v>
      </c>
      <c r="I16" s="27">
        <f>SUM(C16:H16)</f>
        <v>336930</v>
      </c>
    </row>
    <row r="17" spans="2:9" x14ac:dyDescent="0.35">
      <c r="B17" s="47" t="s">
        <v>1</v>
      </c>
      <c r="C17" s="27">
        <f t="shared" ref="C17:F17" si="2">SUM(C15:C16)</f>
        <v>297608</v>
      </c>
      <c r="D17" s="27">
        <f t="shared" si="2"/>
        <v>0</v>
      </c>
      <c r="E17" s="27">
        <f t="shared" si="2"/>
        <v>202700</v>
      </c>
      <c r="F17" s="27">
        <f t="shared" si="2"/>
        <v>284000</v>
      </c>
      <c r="G17" s="27">
        <f>SUM(G15:G16)</f>
        <v>88000</v>
      </c>
      <c r="H17" s="27">
        <f>SUM(H15:H16)</f>
        <v>87200</v>
      </c>
      <c r="I17" s="21">
        <f>SUM(C17:H17)</f>
        <v>959508</v>
      </c>
    </row>
    <row r="18" spans="2:9" ht="20.100000000000001" customHeight="1" x14ac:dyDescent="0.35">
      <c r="B18" s="210"/>
      <c r="C18" s="210"/>
      <c r="D18" s="210"/>
      <c r="E18" s="210"/>
      <c r="F18" s="210"/>
      <c r="G18" s="210"/>
      <c r="H18" s="210"/>
      <c r="I18" s="210"/>
    </row>
    <row r="19" spans="2:9" ht="30" customHeight="1" x14ac:dyDescent="0.35">
      <c r="B19" s="144" t="s">
        <v>205</v>
      </c>
      <c r="C19" s="144"/>
      <c r="D19" s="144"/>
      <c r="E19" s="144"/>
      <c r="F19" s="144"/>
      <c r="G19" s="144"/>
      <c r="H19" s="144"/>
      <c r="I19" s="144"/>
    </row>
    <row r="20" spans="2:9" ht="8.1" customHeight="1" x14ac:dyDescent="0.3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35">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3212</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18280</v>
      </c>
      <c r="H22" s="205">
        <f t="shared" ref="H22:H34" si="3">SUM(C22:G22)</f>
        <v>21492</v>
      </c>
      <c r="I22" s="206"/>
    </row>
    <row r="23" spans="2:9" x14ac:dyDescent="0.35">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245096</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3308</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9192</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05">
        <f t="shared" si="3"/>
        <v>257596</v>
      </c>
      <c r="I23" s="206"/>
    </row>
    <row r="24" spans="2:9" x14ac:dyDescent="0.35">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23000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05">
        <f t="shared" si="3"/>
        <v>23000</v>
      </c>
      <c r="I24" s="206"/>
    </row>
    <row r="25" spans="2:9" x14ac:dyDescent="0.35">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05">
        <f t="shared" si="3"/>
        <v>0</v>
      </c>
      <c r="I25" s="206"/>
    </row>
    <row r="26" spans="2:9" x14ac:dyDescent="0.35">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18000</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22000</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25000</v>
      </c>
      <c r="H26" s="205">
        <f t="shared" si="3"/>
        <v>65000</v>
      </c>
      <c r="I26" s="206"/>
    </row>
    <row r="27" spans="2:9" x14ac:dyDescent="0.35">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05">
        <f t="shared" si="3"/>
        <v>0</v>
      </c>
      <c r="I27" s="206"/>
    </row>
    <row r="28" spans="2:9" x14ac:dyDescent="0.35">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205">
        <f t="shared" si="3"/>
        <v>0</v>
      </c>
      <c r="I28" s="206"/>
    </row>
    <row r="29" spans="2:9" x14ac:dyDescent="0.35">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05">
        <f t="shared" si="3"/>
        <v>0</v>
      </c>
      <c r="I29" s="206"/>
    </row>
    <row r="30" spans="2:9" x14ac:dyDescent="0.35">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858</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3914</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05">
        <f t="shared" si="3"/>
        <v>4772</v>
      </c>
      <c r="I30" s="206"/>
    </row>
    <row r="31" spans="2:9" x14ac:dyDescent="0.35">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1716</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40742</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20940</v>
      </c>
      <c r="H31" s="205">
        <f t="shared" si="3"/>
        <v>63398</v>
      </c>
      <c r="I31" s="206"/>
    </row>
    <row r="32" spans="2:9" x14ac:dyDescent="0.35">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2882</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11574</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05">
        <f t="shared" si="3"/>
        <v>14456</v>
      </c>
      <c r="I32" s="206"/>
    </row>
    <row r="33" spans="2:9" x14ac:dyDescent="0.35">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858</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21820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18280</v>
      </c>
      <c r="H33" s="205">
        <f t="shared" si="3"/>
        <v>40958</v>
      </c>
      <c r="I33" s="206"/>
    </row>
    <row r="34" spans="2:9" x14ac:dyDescent="0.35">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858</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25734</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18280</v>
      </c>
      <c r="H34" s="205">
        <f t="shared" si="3"/>
        <v>44872</v>
      </c>
      <c r="I34" s="206"/>
    </row>
    <row r="35" spans="2:9" x14ac:dyDescent="0.35">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66094</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05">
        <f t="shared" ref="H35:H76" si="4">SUM(C35:G35)</f>
        <v>66094</v>
      </c>
      <c r="I35" s="206"/>
    </row>
    <row r="36" spans="2:9" x14ac:dyDescent="0.35">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05">
        <f t="shared" si="4"/>
        <v>0</v>
      </c>
      <c r="I36" s="206"/>
    </row>
    <row r="37" spans="2:9" x14ac:dyDescent="0.35">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261600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05">
        <f t="shared" si="4"/>
        <v>261600</v>
      </c>
      <c r="I37" s="206"/>
    </row>
    <row r="38" spans="2:9" x14ac:dyDescent="0.35">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990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55360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18980</v>
      </c>
      <c r="H38" s="205">
        <f t="shared" si="4"/>
        <v>75330</v>
      </c>
      <c r="I38" s="206"/>
    </row>
    <row r="39" spans="2:9" x14ac:dyDescent="0.35">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20940</v>
      </c>
      <c r="H39" s="205">
        <f t="shared" si="4"/>
        <v>20940</v>
      </c>
      <c r="I39" s="206"/>
    </row>
    <row r="40" spans="2:9" x14ac:dyDescent="0.35">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05">
        <f t="shared" si="4"/>
        <v>0</v>
      </c>
      <c r="I40" s="206"/>
    </row>
    <row r="41" spans="2:9" x14ac:dyDescent="0.35">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05">
        <f t="shared" si="4"/>
        <v>0</v>
      </c>
      <c r="I76" s="206"/>
    </row>
    <row r="77" spans="2:9" x14ac:dyDescent="0.35">
      <c r="B77" s="52" t="s">
        <v>1</v>
      </c>
      <c r="C77" s="27">
        <f>SUM(C22:C76)</f>
        <v>29374</v>
      </c>
      <c r="D77" s="27">
        <f t="shared" ref="D77:G77" si="5">SUM(D22:D76)</f>
        <v>731934</v>
      </c>
      <c r="E77" s="27">
        <f t="shared" si="5"/>
        <v>3308</v>
      </c>
      <c r="F77" s="27">
        <f t="shared" si="5"/>
        <v>54192</v>
      </c>
      <c r="G77" s="27">
        <f t="shared" si="5"/>
        <v>140700</v>
      </c>
      <c r="H77" s="205">
        <f>SUM(C77:G77)</f>
        <v>959508</v>
      </c>
      <c r="I77" s="206"/>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2023-07-12T17:01:25Z</dcterms:modified>
</cp:coreProperties>
</file>